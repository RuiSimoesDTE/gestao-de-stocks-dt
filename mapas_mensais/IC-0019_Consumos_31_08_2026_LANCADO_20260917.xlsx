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t7973\Desktop\"/>
    </mc:Choice>
  </mc:AlternateContent>
  <xr:revisionPtr revIDLastSave="0" documentId="13_ncr:1_{AA4B49F8-61FC-4893-A022-68978F159C3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6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L436" i="1" l="1"/>
</calcChain>
</file>

<file path=xl/sharedStrings.xml><?xml version="1.0" encoding="utf-8"?>
<sst xmlns="http://schemas.openxmlformats.org/spreadsheetml/2006/main" count="3043" uniqueCount="866">
  <si>
    <t>4026880</t>
  </si>
  <si>
    <t>1203A-PERFIL U80X45X6 A=240 B=365</t>
  </si>
  <si>
    <t/>
  </si>
  <si>
    <t>2060</t>
  </si>
  <si>
    <t>2061</t>
  </si>
  <si>
    <t>IC-0019-P-01</t>
  </si>
  <si>
    <t>UN</t>
  </si>
  <si>
    <t>4026425</t>
  </si>
  <si>
    <t>307-CAVILHA P/PE CONSOLA</t>
  </si>
  <si>
    <t>4026519</t>
  </si>
  <si>
    <t>513-ARTICULACAO TIRANTE CONSOLA</t>
  </si>
  <si>
    <t>4026528</t>
  </si>
  <si>
    <t>524-APERTA TUBO C/OLHAL P/TUBO 24X32</t>
  </si>
  <si>
    <t>4026529</t>
  </si>
  <si>
    <t>525-APERTA TUBO C/OLHAL P/ANT TUBO 34X3</t>
  </si>
  <si>
    <t>4029797</t>
  </si>
  <si>
    <t>556-APERTA TUBO C/OLHAL P/TIRANTE CONSO</t>
  </si>
  <si>
    <t>4026448</t>
  </si>
  <si>
    <t>560-PINCA SUSPENSAO CDT AL-ACO</t>
  </si>
  <si>
    <t>IC-0019</t>
  </si>
  <si>
    <t>4026550</t>
  </si>
  <si>
    <t>562-CORONHA P/BRACO CHAMADA 25X30</t>
  </si>
  <si>
    <t>4037047</t>
  </si>
  <si>
    <t>566-CINTA P/TUBO GUIA</t>
  </si>
  <si>
    <t>4032248</t>
  </si>
  <si>
    <t>82-BRINCO TRIANGULAR COMPRIDO TIPO A</t>
  </si>
  <si>
    <t>4043142</t>
  </si>
  <si>
    <t>102B-BRINCO AMARR P/POSTES ESPIADOS X=95</t>
  </si>
  <si>
    <t>4026317</t>
  </si>
  <si>
    <t>103-BRINCO AMARRACAO CAT COMPENSADA</t>
  </si>
  <si>
    <t>4026296</t>
  </si>
  <si>
    <t>10A-TUBO GALVANIZADO 19X26</t>
  </si>
  <si>
    <t>4026297</t>
  </si>
  <si>
    <t>10C-TUBO GALVANIZADO 24X32</t>
  </si>
  <si>
    <t>4026299</t>
  </si>
  <si>
    <t>10E-TUBO GALVANIZADO 30X38</t>
  </si>
  <si>
    <t>4026300</t>
  </si>
  <si>
    <t>10F-TUBO GALVANIZADO 34X42</t>
  </si>
  <si>
    <t>4026301</t>
  </si>
  <si>
    <t>10G-TUBO GALVANIZADO 40X49</t>
  </si>
  <si>
    <t>4026302</t>
  </si>
  <si>
    <t>10H-TUBO GALVANIZADO 27X34</t>
  </si>
  <si>
    <t>4043165</t>
  </si>
  <si>
    <t>10P-TUBO ALUM-MAG 25X30</t>
  </si>
  <si>
    <t>4043169</t>
  </si>
  <si>
    <t>1113A-CANTONEIRA P/1TUBO GUIA (L=325)</t>
  </si>
  <si>
    <t>4039572</t>
  </si>
  <si>
    <t>1113B-CANTONEIRA P/1TUBO GUIA (L=405)</t>
  </si>
  <si>
    <t>4043175</t>
  </si>
  <si>
    <t>111A-CANTONEIRA P/AT (L80X80X8) L=325</t>
  </si>
  <si>
    <t>4043176</t>
  </si>
  <si>
    <t>111B-CANTONEIRA P/AT (L80X80X8) L=405</t>
  </si>
  <si>
    <t>4049010</t>
  </si>
  <si>
    <t>1127-CANTONEIRA L60X60X6 L=405</t>
  </si>
  <si>
    <t>4026319</t>
  </si>
  <si>
    <t>112A-CANTONEIRA (60X60X6) L=305</t>
  </si>
  <si>
    <t>4026320</t>
  </si>
  <si>
    <t>112B-CANTONEIRA (60X60X6) L=385</t>
  </si>
  <si>
    <t>4043191</t>
  </si>
  <si>
    <t>113A-CANTONEIRA P/ALONGA (60X60X6) L=305</t>
  </si>
  <si>
    <t>4043194</t>
  </si>
  <si>
    <t>115A-CANTONEIRA P/AT (60X60X6) L=325</t>
  </si>
  <si>
    <t>4043197</t>
  </si>
  <si>
    <t>121A-CANTONEIRA FIX REG C/2TIRANTE L=350</t>
  </si>
  <si>
    <t>4032270</t>
  </si>
  <si>
    <t>123A-CANTONEIRA P/2TIRANTES  CONSOLA</t>
  </si>
  <si>
    <t>4037095</t>
  </si>
  <si>
    <t>1250A-SECCIONADOR UNIPOLAR TIPO SBR</t>
  </si>
  <si>
    <t>4026325</t>
  </si>
  <si>
    <t>125A-CANTONEIRA FIX REG P.S.L=305 C/FURO</t>
  </si>
  <si>
    <t>4043204</t>
  </si>
  <si>
    <t>125B-CANTONEIRA FIX REG P.S.L=365 C/FURO</t>
  </si>
  <si>
    <t>4026327</t>
  </si>
  <si>
    <t>125C-CANTONEIRA FIX REG P.S.L=425 C/FURO</t>
  </si>
  <si>
    <t>4026328</t>
  </si>
  <si>
    <t>125D-CANTONEIRA FIX REG POSTE SIMPLES L=</t>
  </si>
  <si>
    <t>4036961</t>
  </si>
  <si>
    <t>125E-CANTONEIRA 90X90X9 L= 385</t>
  </si>
  <si>
    <t>4026330</t>
  </si>
  <si>
    <t>125F-CANTONEIRA FIX REG POSTE SIMPLES L=</t>
  </si>
  <si>
    <t>4043210</t>
  </si>
  <si>
    <t>130A-CANTONEIRA P/CONSOLA FEEDER DRT</t>
  </si>
  <si>
    <t>4043211</t>
  </si>
  <si>
    <t>130B-CANTONEIRA P/CONSOLA FEEDER ESQ</t>
  </si>
  <si>
    <t>4043212</t>
  </si>
  <si>
    <t>131A-CANTONEIRA P/CONSOLA FEEDER DRT</t>
  </si>
  <si>
    <t>4043213</t>
  </si>
  <si>
    <t>131B-CANTONEIRA P/CONSOLA FEEDER ESQ</t>
  </si>
  <si>
    <t>4043225</t>
  </si>
  <si>
    <t>14B2-ESPIA Ø 24 L=7,45m</t>
  </si>
  <si>
    <t>4026307</t>
  </si>
  <si>
    <t>14B4-ESPIA Ø 24 L=8,70m</t>
  </si>
  <si>
    <t>4026308</t>
  </si>
  <si>
    <t>14B5-EAPIAØ 24 L=9,15m</t>
  </si>
  <si>
    <t>4043226</t>
  </si>
  <si>
    <t>14B7-ESPIA Ø 24 L=10,25m</t>
  </si>
  <si>
    <t>4037194</t>
  </si>
  <si>
    <t>160A-CANTONEIRA P/FIX TUB GUIA CON L=405</t>
  </si>
  <si>
    <t>4029801</t>
  </si>
  <si>
    <t>161-CANTONEIRA AFA.CON.DUP.C/APAR.TENSOR</t>
  </si>
  <si>
    <t>4043027</t>
  </si>
  <si>
    <t>166-CANTONEIRA ADAP 3 PES CONSOLA</t>
  </si>
  <si>
    <t>4043028</t>
  </si>
  <si>
    <t>167-CANTONEIRA FIX 3TIRANTES+3PE CONSOLA</t>
  </si>
  <si>
    <t>4026375</t>
  </si>
  <si>
    <t>16B2-PARAFUSO M10X35/26 C/HU+HM</t>
  </si>
  <si>
    <t>4026376</t>
  </si>
  <si>
    <t>16B4-PARAFUSO M10X45/45 C/HU+HM</t>
  </si>
  <si>
    <t>4036944</t>
  </si>
  <si>
    <t>16C9-PARAFUSO M12X120/30 C/ HU+HM</t>
  </si>
  <si>
    <t>4043317</t>
  </si>
  <si>
    <t>16D1-PARAFUSO M16X30/30 C/HU</t>
  </si>
  <si>
    <t>4026379</t>
  </si>
  <si>
    <t>16D14-PARAFUSO M16X70/38 C/HU+HM</t>
  </si>
  <si>
    <t>4026580</t>
  </si>
  <si>
    <t>16D2-PARAFUSO M16X40/40 C/HU+HM</t>
  </si>
  <si>
    <t>4026462</t>
  </si>
  <si>
    <t>16D24-PARAFUSO M16X60/38 C/HU</t>
  </si>
  <si>
    <t>4036945</t>
  </si>
  <si>
    <t>16D29-PARAFUSO M16X80/38 C/ HU+HM</t>
  </si>
  <si>
    <t>4026463</t>
  </si>
  <si>
    <t>16D3-PARAFUSO M16X45/38 C/HU+HM</t>
  </si>
  <si>
    <t>4026464</t>
  </si>
  <si>
    <t>16D4-PARAFUSO M16X50/38 C/HU+HM</t>
  </si>
  <si>
    <t>4026466</t>
  </si>
  <si>
    <t>16D6-PARAFUSO M16X55/3/ C/HU+HM</t>
  </si>
  <si>
    <t>4026381</t>
  </si>
  <si>
    <t>16D8-PARAFUSO M16X60/38</t>
  </si>
  <si>
    <t>4026460</t>
  </si>
  <si>
    <t>16D9-PARAFUSO M16X65/38 C/HU+HM</t>
  </si>
  <si>
    <t>4026467</t>
  </si>
  <si>
    <t>16E1-PARAFUSO M18X55/42 C/HU+HM</t>
  </si>
  <si>
    <t>4026468</t>
  </si>
  <si>
    <t>16E2-PARAFUSO M18X60/42 C/HU+HM</t>
  </si>
  <si>
    <t>4026471</t>
  </si>
  <si>
    <t>16F3-PARAFUSO M20X60/46 C/HU+HM</t>
  </si>
  <si>
    <t>4026472</t>
  </si>
  <si>
    <t>16F4-PARAFUSO M20X70/46 C/HU+HM</t>
  </si>
  <si>
    <t>4026473</t>
  </si>
  <si>
    <t>16F6-PARAFUSO M20X130/52 C/HU+HM</t>
  </si>
  <si>
    <t>4043340</t>
  </si>
  <si>
    <t>16F9-PARAFUSO M20X55/46 C/HU+HM</t>
  </si>
  <si>
    <t>4026475</t>
  </si>
  <si>
    <t>16G-PARAFUSO M22X75/46 C/HU</t>
  </si>
  <si>
    <t>4026476</t>
  </si>
  <si>
    <t>16H-PARAFUSO M30X100/66 C/HU</t>
  </si>
  <si>
    <t>4043029</t>
  </si>
  <si>
    <t>170-CANTONEIRA P/FIX TIRANTE+PÉ CONSOLA</t>
  </si>
  <si>
    <t>4043539</t>
  </si>
  <si>
    <t>172A-CANTONEIRA TRAV TT L80X80X8  B=365</t>
  </si>
  <si>
    <t>4026334</t>
  </si>
  <si>
    <t>172B-CANTONEIRA TRAV TT L80X80X8 B=405</t>
  </si>
  <si>
    <t>4043342</t>
  </si>
  <si>
    <t>17A-PARAFUSO ACO/INOX SEXT M10X30/26</t>
  </si>
  <si>
    <t>4026383</t>
  </si>
  <si>
    <t>17C-PARAFUSO INOX SEXT M12X30/30 C/HU</t>
  </si>
  <si>
    <t>4036947</t>
  </si>
  <si>
    <t>17D-PARAFUSO M12X40/40 C/HU</t>
  </si>
  <si>
    <t>4036948</t>
  </si>
  <si>
    <t>17E-PARAFUSO M12X45/45 C/ HU</t>
  </si>
  <si>
    <t>4026387</t>
  </si>
  <si>
    <t>17I-PARAFUSO INOX M10X60/26 C/HU</t>
  </si>
  <si>
    <t>4026389</t>
  </si>
  <si>
    <t>17N-PARAFUSO INOX M8X45/45 C/HU</t>
  </si>
  <si>
    <t>4043347</t>
  </si>
  <si>
    <t>17Q-PARAFUSO INOX M8X30/30 C/HU</t>
  </si>
  <si>
    <t>4038577</t>
  </si>
  <si>
    <t>17V-PARAFUSO INOX M10X50/50 C/HU</t>
  </si>
  <si>
    <t>4048954</t>
  </si>
  <si>
    <t>17W-PARAFUSO M6X12/12</t>
  </si>
  <si>
    <t>4048955</t>
  </si>
  <si>
    <t>17W1-PARAFUSO M8X12/12</t>
  </si>
  <si>
    <t>4049006</t>
  </si>
  <si>
    <t>17W2-PARAFUSO M6X16/16</t>
  </si>
  <si>
    <t>4049007</t>
  </si>
  <si>
    <t>17W3-PARAFUSO M12X20/20</t>
  </si>
  <si>
    <t>4038596</t>
  </si>
  <si>
    <t>17X-PARAFUSO M6X25/25 C/HU+HM</t>
  </si>
  <si>
    <t>4036922</t>
  </si>
  <si>
    <t>188A-CANTONEIR P/FIX COMA L60X60X6 L=330</t>
  </si>
  <si>
    <t>4029802</t>
  </si>
  <si>
    <t>189A-CANTON P/FIX CAIX COM L60X60X6L=360</t>
  </si>
  <si>
    <t>4036949</t>
  </si>
  <si>
    <t>18A-PERNO ROSC M16X300/100 C/2HU+HM</t>
  </si>
  <si>
    <t>4036950</t>
  </si>
  <si>
    <t>18C-PERNO ROSC M16X350/100 2HU+2HM+2ANIL</t>
  </si>
  <si>
    <t>4036965</t>
  </si>
  <si>
    <t>18D-PERNO ROSC M16X400/100 C/2HU+HM</t>
  </si>
  <si>
    <t>4038619</t>
  </si>
  <si>
    <t>18E-PERNO ROSC M16X450/100 C/2HU+2HM+ANI</t>
  </si>
  <si>
    <t>4026312</t>
  </si>
  <si>
    <t>18I-PERNO ROSC M20X300/70 2HU+2HM+2ANI</t>
  </si>
  <si>
    <t>4037056</t>
  </si>
  <si>
    <t>18J-PERNO ROSC M20X350/70 C/2HU+HM</t>
  </si>
  <si>
    <t>4037057</t>
  </si>
  <si>
    <t>18K-PERNO ROSC M20X350/100 C/HU+HM+ANILH</t>
  </si>
  <si>
    <t>4036951</t>
  </si>
  <si>
    <t>18L-PERNO ROSC M20X400/70</t>
  </si>
  <si>
    <t>4037067</t>
  </si>
  <si>
    <t>18M-PERNO ROSC M20X400/100 C/HU+HM+ANILH</t>
  </si>
  <si>
    <t>4043581</t>
  </si>
  <si>
    <t>18P-PERNO ROSC M20X450/70 2HU+2HM+2ANI</t>
  </si>
  <si>
    <t>4043587</t>
  </si>
  <si>
    <t>19A-ANILHA M17,5</t>
  </si>
  <si>
    <t>4026395</t>
  </si>
  <si>
    <t>19C-PORCA M18</t>
  </si>
  <si>
    <t>4036092</t>
  </si>
  <si>
    <t>19D-ANILHA MOLA B12</t>
  </si>
  <si>
    <t>4036953</t>
  </si>
  <si>
    <t>19F-ANILHA PLANA D=13,5MM</t>
  </si>
  <si>
    <t>4049008</t>
  </si>
  <si>
    <t>19L-ANILHA M9</t>
  </si>
  <si>
    <t>4048952</t>
  </si>
  <si>
    <t>19M-ANILHA MOLA B8</t>
  </si>
  <si>
    <t>4048953</t>
  </si>
  <si>
    <t>2051 PERNO ROSC M6X150/150 C/4HU+4ANI</t>
  </si>
  <si>
    <t>4043692</t>
  </si>
  <si>
    <t>210A-PERFIL P/FIX REG CDTAU80X45X6 L=305</t>
  </si>
  <si>
    <t>4043693</t>
  </si>
  <si>
    <t>210B-PERFIL P/FIX REG CDTAU80X45X6 L=385</t>
  </si>
  <si>
    <t>4043710</t>
  </si>
  <si>
    <t>211A-PERFIL RG TIR CONS U80X45X6 L=305</t>
  </si>
  <si>
    <t>4043711</t>
  </si>
  <si>
    <t>211B-PERFIL RG TIR CONS U80X45X6 L=305</t>
  </si>
  <si>
    <t>4043694</t>
  </si>
  <si>
    <t>213A-PERFIL P/FIX REG 2TIR CON U120X55X7</t>
  </si>
  <si>
    <t>4043696</t>
  </si>
  <si>
    <t>216A-PERFIL P/AT U180X70X8 L=325</t>
  </si>
  <si>
    <t>4043697</t>
  </si>
  <si>
    <t>216B-PERFIL P/AT U180X70X8 L=405</t>
  </si>
  <si>
    <t>4043698</t>
  </si>
  <si>
    <t>217A-PERFIL P/FIX 2PE CON U140X60X7</t>
  </si>
  <si>
    <t>4043781</t>
  </si>
  <si>
    <t>223A-POSTALETE FEEDER U100X50X6 L=2100</t>
  </si>
  <si>
    <t>4043782</t>
  </si>
  <si>
    <t>223B-POSTALETE FEEDER U100X50X6 L=2600</t>
  </si>
  <si>
    <t>4026345</t>
  </si>
  <si>
    <t>225A1-ALONGA P/1PE CONS L60X60X6 L=600</t>
  </si>
  <si>
    <t>4026346</t>
  </si>
  <si>
    <t>225A2-ALONGA P/1PE CONS L60X60X6 L=900</t>
  </si>
  <si>
    <t>4049013</t>
  </si>
  <si>
    <t>240A1-ALONGA P/1TIRANTE L=600 M=305</t>
  </si>
  <si>
    <t>4032261</t>
  </si>
  <si>
    <t>240A2-ALONGA P/MONT 1TIRAN U60X30X6 L=90</t>
  </si>
  <si>
    <t>4049012</t>
  </si>
  <si>
    <t>243-PERFIL U140X60X7 L=250</t>
  </si>
  <si>
    <t>4032251</t>
  </si>
  <si>
    <t>245-PERFIL P/AFAST CONS DUPLAS C/AT</t>
  </si>
  <si>
    <t>4043707</t>
  </si>
  <si>
    <t>248A-PERFIL P/AT CP4 L=325</t>
  </si>
  <si>
    <t>4043708</t>
  </si>
  <si>
    <t>248B-PERFIL P/AT CP4 L=405</t>
  </si>
  <si>
    <t>4029807</t>
  </si>
  <si>
    <t>250C-ALONGA U65X42X5,5 L=1900 C=305</t>
  </si>
  <si>
    <t>4043045</t>
  </si>
  <si>
    <t>253-PERFIL U P/FIX 3PE CONSOLA</t>
  </si>
  <si>
    <t>4043047</t>
  </si>
  <si>
    <t>255-SUPORTE FIX ISOLADOR APOIO</t>
  </si>
  <si>
    <t>4036963</t>
  </si>
  <si>
    <t>263D-PERNO ROSC M10X90/90 C/ 2HU</t>
  </si>
  <si>
    <t>4037076</t>
  </si>
  <si>
    <t>267A-FERRO U 40x20x5  C/CHAPA L=155</t>
  </si>
  <si>
    <t>4038956</t>
  </si>
  <si>
    <t>267C - PERFIL U40x20x5 C/CHAPA L=211mm</t>
  </si>
  <si>
    <t>4043065</t>
  </si>
  <si>
    <t>271-ESQUADRO ABAIX P/CONSOLA FEEDER</t>
  </si>
  <si>
    <t>4037077</t>
  </si>
  <si>
    <t>273A-BARRA ACO  50X10 L=330</t>
  </si>
  <si>
    <t>4037055</t>
  </si>
  <si>
    <t>291A-CHAVETA 1/2 CANA CU 5X50</t>
  </si>
  <si>
    <t>4026410</t>
  </si>
  <si>
    <t>291B-CHAVETA 1/2 CANA CU 4X40</t>
  </si>
  <si>
    <t>4037890</t>
  </si>
  <si>
    <t>291C-CHAVETA 1/2 CANA CU 3,2X40</t>
  </si>
  <si>
    <t>4043600</t>
  </si>
  <si>
    <t>293B-CAVALEIRO P/CABO 95MM</t>
  </si>
  <si>
    <t>4026412</t>
  </si>
  <si>
    <t>294A-SAPATILHO 10 30X2X1X6X10</t>
  </si>
  <si>
    <t>4026413</t>
  </si>
  <si>
    <t>294B-SAPATILHO 25 41X3X1,5X10X14</t>
  </si>
  <si>
    <t>4043602</t>
  </si>
  <si>
    <t>294D-SAPATILHO 10 45X3X1X10X14 (LP5)</t>
  </si>
  <si>
    <t>4026414</t>
  </si>
  <si>
    <t>295A-MANGA APERTO 10MM</t>
  </si>
  <si>
    <t>4026415</t>
  </si>
  <si>
    <t>295B-MANGA APERTO 25MM</t>
  </si>
  <si>
    <t>4026483</t>
  </si>
  <si>
    <t>296B-BAINHA PROTECAO 130X33X1 R=11</t>
  </si>
  <si>
    <t>4026417</t>
  </si>
  <si>
    <t>296H-BAINHA PROTECAO 120X50X1 R=16</t>
  </si>
  <si>
    <t>4027091</t>
  </si>
  <si>
    <t>298-ANEL FORMA OITO P/PENDULO FIXO</t>
  </si>
  <si>
    <t>4036942</t>
  </si>
  <si>
    <t>302A-REBITE CU 7X60</t>
  </si>
  <si>
    <t>4026421</t>
  </si>
  <si>
    <t>302B-REBITE CU5X40</t>
  </si>
  <si>
    <t>4026422</t>
  </si>
  <si>
    <t>302C-REBITE CU 7X45</t>
  </si>
  <si>
    <t>4038089</t>
  </si>
  <si>
    <t>303B-REBITES ALUM</t>
  </si>
  <si>
    <t>4026426</t>
  </si>
  <si>
    <t>340-PLACA PERIGO DE MORTE PEQUENA</t>
  </si>
  <si>
    <t>4037051</t>
  </si>
  <si>
    <t>343-GRIFE SIMPLES P/BRACO CHAMADA</t>
  </si>
  <si>
    <t>4026428</t>
  </si>
  <si>
    <t>348-MEIA PINCA P/ANTIB FC SOBREELEVADO</t>
  </si>
  <si>
    <t>4036968</t>
  </si>
  <si>
    <t>359-MEIA GARRA P/ CABO 65MM2 / 95 MM2</t>
  </si>
  <si>
    <t>4036969</t>
  </si>
  <si>
    <t>360-MEIA GARRA P/CABO 95MM/FC 107MM</t>
  </si>
  <si>
    <t>4036940</t>
  </si>
  <si>
    <t>361-GARRA P/CABO 70MM/107MM</t>
  </si>
  <si>
    <t>4026431</t>
  </si>
  <si>
    <t>373-PEÇA AMARRACAO P/CABO 150MM</t>
  </si>
  <si>
    <t>4041406</t>
  </si>
  <si>
    <t>380-MANGA JUNÇÃO P/FEEDER 150MM2</t>
  </si>
  <si>
    <t>4043072</t>
  </si>
  <si>
    <t>382-MANGA JUNCAO P/CABO TERRA AEREO</t>
  </si>
  <si>
    <t>4026492</t>
  </si>
  <si>
    <t>383-PLACA IDENTIFICACAO ISOLADOR SECCAO</t>
  </si>
  <si>
    <t>4026493</t>
  </si>
  <si>
    <t>401-ROLDANA P/PORTICO FLEXIVEL</t>
  </si>
  <si>
    <t>4043592</t>
  </si>
  <si>
    <t>406A-CAVILHA 40xØ13</t>
  </si>
  <si>
    <t>4026433</t>
  </si>
  <si>
    <t>406B-CAVILHA 52xØ19</t>
  </si>
  <si>
    <t>4043593</t>
  </si>
  <si>
    <t>406C-CAVILHA 50XØ16</t>
  </si>
  <si>
    <t>4029814</t>
  </si>
  <si>
    <t>407-PERNO ROSCADO P/ESPIAM SOBREELEVADO</t>
  </si>
  <si>
    <t>4026494</t>
  </si>
  <si>
    <t>408A-ESTRIBO AMARRAÇÃO M20 C/PORCAS</t>
  </si>
  <si>
    <t>4043817</t>
  </si>
  <si>
    <t>408B-ESTRIBO AMARRACAO M27 C/PORCAS</t>
  </si>
  <si>
    <t>4043594</t>
  </si>
  <si>
    <t>410A-ESTICADOR ABERTO</t>
  </si>
  <si>
    <t>4043595</t>
  </si>
  <si>
    <t>410C-ESTICADOR ABERTO</t>
  </si>
  <si>
    <t>4026434</t>
  </si>
  <si>
    <t>411A-ESTICADOR TUBO P/5TON</t>
  </si>
  <si>
    <t>4026435</t>
  </si>
  <si>
    <t>411B-ESTICADOR TUBO P/9TON</t>
  </si>
  <si>
    <t>4026496</t>
  </si>
  <si>
    <t>415A-PERNO ROSCADO CURVO M19 L=275</t>
  </si>
  <si>
    <t>4026497</t>
  </si>
  <si>
    <t>417-PERNO ROSCADO M16 C/OLHAL</t>
  </si>
  <si>
    <t>4036964</t>
  </si>
  <si>
    <t>423H-VARA SUSPENSAO CONTRA PESO L=1150</t>
  </si>
  <si>
    <t>4026436</t>
  </si>
  <si>
    <t>431-ABRACADEIRA P/VARA SUSPEN CONTRAPESO</t>
  </si>
  <si>
    <t>4026499</t>
  </si>
  <si>
    <t>432A-ABRACADEIRA C/PORCA M12 O=54</t>
  </si>
  <si>
    <t>4026500</t>
  </si>
  <si>
    <t>432B-ABRACADEIRA C/PORCA M12 O=62</t>
  </si>
  <si>
    <t>4026503</t>
  </si>
  <si>
    <t>432C-ABRACADEIRA C7PORCA M10 O=47</t>
  </si>
  <si>
    <t>4026502</t>
  </si>
  <si>
    <t>432D-ABRACADEIRA C/PORCA M12 O=55</t>
  </si>
  <si>
    <t>4038618</t>
  </si>
  <si>
    <t>432E-ABRACADEIRA C/PORCA M10 O=40</t>
  </si>
  <si>
    <t>4026504</t>
  </si>
  <si>
    <t>432F-ABRACADEIRA C/PORCA M10 O=61</t>
  </si>
  <si>
    <t>4026437</t>
  </si>
  <si>
    <t>44-VARA REGULACAO DIREITA L=410</t>
  </si>
  <si>
    <t>4026505</t>
  </si>
  <si>
    <t>442-PARAFUSO PONTO M12X22/22</t>
  </si>
  <si>
    <t>4037052</t>
  </si>
  <si>
    <t>448-MANGA INT P/TUBO GUIA C/HU+HM</t>
  </si>
  <si>
    <t>4026440</t>
  </si>
  <si>
    <t>451-MANILHA P/TRANSVERSAL ALMENTACAO</t>
  </si>
  <si>
    <t>4032236</t>
  </si>
  <si>
    <t>455-MOLA BLINDADA PARA PORTIC FLEXIVEL</t>
  </si>
  <si>
    <t>4026555</t>
  </si>
  <si>
    <t>462A-APERTA TUBO P/ANTIBALANCANTE 40X49</t>
  </si>
  <si>
    <t>4026373</t>
  </si>
  <si>
    <t>464A-SUPORTE P/2CABOS</t>
  </si>
  <si>
    <t>4029815</t>
  </si>
  <si>
    <t>465-ESQUADRO SUS.PINC.SUSP.CABO.SUP.CONS</t>
  </si>
  <si>
    <t>4026509</t>
  </si>
  <si>
    <t>480-ARTICULACAO TIRANTE P/ISOL SINTETICO</t>
  </si>
  <si>
    <t>4032237</t>
  </si>
  <si>
    <t>483-MANGA INTERIOR 24X32</t>
  </si>
  <si>
    <t>4026510</t>
  </si>
  <si>
    <t>501A-CORPO PINCA SUSP CS P/CONSOLA 30X38</t>
  </si>
  <si>
    <t>4026511</t>
  </si>
  <si>
    <t>501B-CORPO PINCA SUSP CS P/CONSOLA 40X49</t>
  </si>
  <si>
    <t>4036988</t>
  </si>
  <si>
    <t>501C-PINCA SUSP. CABO SUPORTE CONSOLA</t>
  </si>
  <si>
    <t>4036989</t>
  </si>
  <si>
    <t>501D-TAMPA PINCA SUSP.CABO SUPORTE</t>
  </si>
  <si>
    <t>4043605</t>
  </si>
  <si>
    <t>506A-PINCA SUSP FUNICULARES 50-65MM</t>
  </si>
  <si>
    <t>4026515</t>
  </si>
  <si>
    <t>509-SUPORTE FIXACAO FUNICULAR</t>
  </si>
  <si>
    <t>4026516</t>
  </si>
  <si>
    <t>510-SUPORTE FIXACAO APARELHO TENSOR</t>
  </si>
  <si>
    <t>4026517</t>
  </si>
  <si>
    <t>511-PECA AMARRACAO ESPIA</t>
  </si>
  <si>
    <t>4026518</t>
  </si>
  <si>
    <t>512-SUPORTE FIXACAO TIRANTE CONSOLA</t>
  </si>
  <si>
    <t>4027093</t>
  </si>
  <si>
    <t>514A-PE CONSOLA ARTICULADO B=285</t>
  </si>
  <si>
    <t>4032281</t>
  </si>
  <si>
    <t>514B-PE CONSOLA ARTICULADO B=365</t>
  </si>
  <si>
    <t>4026521</t>
  </si>
  <si>
    <t>515-ARTICULACAO PE CONSOLA</t>
  </si>
  <si>
    <t>4026522</t>
  </si>
  <si>
    <t>516-PONTEIRA P/TUBO 19X26</t>
  </si>
  <si>
    <t>4026523</t>
  </si>
  <si>
    <t>517-TERMINAL VARA REGULACAO</t>
  </si>
  <si>
    <t>4026524</t>
  </si>
  <si>
    <t>518A-APERTA TUBO C/ARTICULACAO 24X32</t>
  </si>
  <si>
    <t>4026525</t>
  </si>
  <si>
    <t>518B-APERTA TUBO C/ARTICULACAO 34X42</t>
  </si>
  <si>
    <t>4026526</t>
  </si>
  <si>
    <t>522-APERTA TUBO C/OLHAL P/TUBO 30X38</t>
  </si>
  <si>
    <t>4026527</t>
  </si>
  <si>
    <t>523-APERTA TUBO C/OLHAL P/TUBO 40X49</t>
  </si>
  <si>
    <t>4032249</t>
  </si>
  <si>
    <t>526-APERTA CABO DE EXTERMIDADE TUBO19X26</t>
  </si>
  <si>
    <t>4026531</t>
  </si>
  <si>
    <t>527-PECA SUSPENSAO TRANSV NO PORTICO</t>
  </si>
  <si>
    <t>4026532</t>
  </si>
  <si>
    <t>528-BRACADEIRA C/MAXIL P/CABO TUBO 19X26</t>
  </si>
  <si>
    <t>4036937</t>
  </si>
  <si>
    <t>531A-ARTIC. F P/VARA COMANDO SECCIONADOR</t>
  </si>
  <si>
    <t>4036938</t>
  </si>
  <si>
    <t>531B-ARTIC. M P/VARA COMANDO SECCIONADOR</t>
  </si>
  <si>
    <t>4026445</t>
  </si>
  <si>
    <t>531C-ARTICULACAO EXTRMID P/VARA COMANDO</t>
  </si>
  <si>
    <t>4026534</t>
  </si>
  <si>
    <t>533C-GANCHO P/BRACO CHAMADA 25X30 (FECH)</t>
  </si>
  <si>
    <t>4026535</t>
  </si>
  <si>
    <t>536-GANCHO P/TUBO 24X32</t>
  </si>
  <si>
    <t>4026536</t>
  </si>
  <si>
    <t>536B-GANCHO P/TUBO 34X42</t>
  </si>
  <si>
    <t>4026537</t>
  </si>
  <si>
    <t>537-GANCHO P/TUBO 19X26 ROSCADO</t>
  </si>
  <si>
    <t>4026539</t>
  </si>
  <si>
    <t>540A-PECA AMARR P/CABOS 50-70MM/FC 107MM</t>
  </si>
  <si>
    <t>4026540</t>
  </si>
  <si>
    <t>540B-CUNHA P/ FC 107MM</t>
  </si>
  <si>
    <t>4026541</t>
  </si>
  <si>
    <t>540C-CUNHA P/CABOS 50-70MM</t>
  </si>
  <si>
    <t>4026544</t>
  </si>
  <si>
    <t>542-PACA REG "TIPO 1" P/ESPIA AMARRACAO</t>
  </si>
  <si>
    <t>4038355</t>
  </si>
  <si>
    <t>543 PECA REG "TIPO R2" P/ESPIA AMARRACAO</t>
  </si>
  <si>
    <t>4029795</t>
  </si>
  <si>
    <t>544A-CALCO APOIO P/ESPIA SOBREELEVADA</t>
  </si>
  <si>
    <t>4038354</t>
  </si>
  <si>
    <t>544B ROTULA APOIO P/ESPIA SOBREELEVADA</t>
  </si>
  <si>
    <t>4026545</t>
  </si>
  <si>
    <t>546-MANGA APERTO</t>
  </si>
  <si>
    <t>4043095</t>
  </si>
  <si>
    <t>550-UNIAO ROSC P/VARA COMANDO SECCIONADO</t>
  </si>
  <si>
    <t>4043096</t>
  </si>
  <si>
    <t>551-PINCA SUSP P/FEEDER 150MM</t>
  </si>
  <si>
    <t>4026547</t>
  </si>
  <si>
    <t>552-LIGADOR BIFILAR</t>
  </si>
  <si>
    <t>4026549</t>
  </si>
  <si>
    <t>558A-CORONHA C/MANGA APERTO</t>
  </si>
  <si>
    <t>4026446</t>
  </si>
  <si>
    <t>559A-TERMINAL P/VARA COMANADO</t>
  </si>
  <si>
    <t>4026447</t>
  </si>
  <si>
    <t>559B-CAVILHA 19X80</t>
  </si>
  <si>
    <t>4036993</t>
  </si>
  <si>
    <t>561-PECA AMARRACAO P/ C.D.T.A.</t>
  </si>
  <si>
    <t>4026565</t>
  </si>
  <si>
    <t>564-CONTRAPESO 40KG</t>
  </si>
  <si>
    <t>4026566</t>
  </si>
  <si>
    <t>565-CONTRAPESO 20KG</t>
  </si>
  <si>
    <t>4026568</t>
  </si>
  <si>
    <t>60-ISOLADOR SINTÉTICO P/TIRANTE</t>
  </si>
  <si>
    <t>4026569</t>
  </si>
  <si>
    <t>61-ISOLADOR SINTETICO P/CONSOLA</t>
  </si>
  <si>
    <t>4026570</t>
  </si>
  <si>
    <t>62-ISOLADOR SINTETICO 11T</t>
  </si>
  <si>
    <t>4026554</t>
  </si>
  <si>
    <t>622-APARELHO TENSOR</t>
  </si>
  <si>
    <t>4046820</t>
  </si>
  <si>
    <t>623E-SECCIONADOR COMPLETO</t>
  </si>
  <si>
    <t>4026556</t>
  </si>
  <si>
    <t>627-SUPORTE FIX BRACO CHAMADA P/AMV´S</t>
  </si>
  <si>
    <t>4026558</t>
  </si>
  <si>
    <t>638-MEIA GARRA P/FC</t>
  </si>
  <si>
    <t>4026559</t>
  </si>
  <si>
    <t>639-MEIA GARRA P/CABO SUPORTE</t>
  </si>
  <si>
    <t>4037054</t>
  </si>
  <si>
    <t>640-TERMINAL P/CABO BZ 12MM</t>
  </si>
  <si>
    <t>4036941</t>
  </si>
  <si>
    <t>641-MANGA C/ OLHAL P/ TUBO 30X36 E 30X38</t>
  </si>
  <si>
    <t>4036990</t>
  </si>
  <si>
    <t>642-SUP. FIX. BRACO CHAM. ANTI 30X38</t>
  </si>
  <si>
    <t>4038819</t>
  </si>
  <si>
    <t>642-SUPORTE FIX BRACO CHAM P/TUBO 24X32</t>
  </si>
  <si>
    <t>4036994</t>
  </si>
  <si>
    <t>643-BRACO CHAMADA (CATENARIA LP5)</t>
  </si>
  <si>
    <t>4043107</t>
  </si>
  <si>
    <t>644-BRACO CHAMADA SLA (LP5)</t>
  </si>
  <si>
    <t>4043112</t>
  </si>
  <si>
    <t>654-ISOLADOR SECCAO 25KV C/2ISOLADORES</t>
  </si>
  <si>
    <t>4043113</t>
  </si>
  <si>
    <t>657-ELETRODO DE TERRA</t>
  </si>
  <si>
    <t>4004593</t>
  </si>
  <si>
    <t>660A-TERMINAL COMPRESSAO AL/CU 50MM</t>
  </si>
  <si>
    <t>4004594</t>
  </si>
  <si>
    <t>660B-TERMINAL COMPRESSAO AL/CU 70MM</t>
  </si>
  <si>
    <t>4004595</t>
  </si>
  <si>
    <t>660C-TERMINAL COMPRESSAO AL/CU 95MM</t>
  </si>
  <si>
    <t>4037050</t>
  </si>
  <si>
    <t>662-LIGADOR PARALELO P/CABO ALU</t>
  </si>
  <si>
    <t>4026562</t>
  </si>
  <si>
    <t>719-TAMPAO FEMEA 3/4</t>
  </si>
  <si>
    <t>4043122</t>
  </si>
  <si>
    <t>725-CANTONEIRA P/FIX 2TIRANTE 2PES CONSO</t>
  </si>
  <si>
    <t>4046819</t>
  </si>
  <si>
    <t>728B-CAIXA COMANDO ELET. P/SECCIONADOR</t>
  </si>
  <si>
    <t>4043838</t>
  </si>
  <si>
    <t>731A-CANTONEIRA FIX L70X70X7 C=305</t>
  </si>
  <si>
    <t>4026491</t>
  </si>
  <si>
    <t>805-ABRACADEIRA CABECA DESTACAVEL</t>
  </si>
  <si>
    <t>4026400</t>
  </si>
  <si>
    <t>81-BRINCO CURTO</t>
  </si>
  <si>
    <t>4027087</t>
  </si>
  <si>
    <t>86A-BRINCO P/ESPIAS AMARRACAO-TIPO J1</t>
  </si>
  <si>
    <t>4032247</t>
  </si>
  <si>
    <t>86B-BRINCO P/ESPIAS AMARRACAO-TIPO J2</t>
  </si>
  <si>
    <t>4043003</t>
  </si>
  <si>
    <t>89-BRINCO AMARR TRANSV ALIMENT</t>
  </si>
  <si>
    <t>4026591</t>
  </si>
  <si>
    <t>9G-CABO BRONZE 65MM</t>
  </si>
  <si>
    <t>M</t>
  </si>
  <si>
    <t>4026586</t>
  </si>
  <si>
    <t>9M-CABO COBRE DURO 150MM</t>
  </si>
  <si>
    <t>4038626</t>
  </si>
  <si>
    <t>9Q-CONDUTOR DE COBRE DURO 12,56MM</t>
  </si>
  <si>
    <t>4026592</t>
  </si>
  <si>
    <t>9S-FIO CONTACTO 107MM</t>
  </si>
  <si>
    <t>4026588</t>
  </si>
  <si>
    <t>9U-CABO ALU-ACO 93,3MM</t>
  </si>
  <si>
    <t>4015939</t>
  </si>
  <si>
    <t>9U1-CABO LXV 50MM</t>
  </si>
  <si>
    <t>4038586</t>
  </si>
  <si>
    <t>ABRACADEIRA ALGEROZ 50MM</t>
  </si>
  <si>
    <t>4037210</t>
  </si>
  <si>
    <t>ABRACADEIRA ALGEROZ 90mm</t>
  </si>
  <si>
    <t>4002623</t>
  </si>
  <si>
    <t>ABRACADEIRA ELECTRODO TERRA</t>
  </si>
  <si>
    <t>5015289</t>
  </si>
  <si>
    <t>ABRACADEIRA ESPIGA 3/4''</t>
  </si>
  <si>
    <t>4015267</t>
  </si>
  <si>
    <t>ACOPLAMENTO ELASTICO 630</t>
  </si>
  <si>
    <t>5016685</t>
  </si>
  <si>
    <t>ADAPTADOR P/ SERRA CRANEANAS</t>
  </si>
  <si>
    <t>5001724</t>
  </si>
  <si>
    <t>ALOQUETE 45MM</t>
  </si>
  <si>
    <t>4032360</t>
  </si>
  <si>
    <t>ANILHA INOX M10</t>
  </si>
  <si>
    <t>4023516</t>
  </si>
  <si>
    <t>ANILHA M12 – INOX</t>
  </si>
  <si>
    <t>4002706</t>
  </si>
  <si>
    <t>ARAME ACO</t>
  </si>
  <si>
    <t>4010296</t>
  </si>
  <si>
    <t>BARRA COLETORA TERRAS</t>
  </si>
  <si>
    <t>5002284</t>
  </si>
  <si>
    <t>BARROTE 264X07X07</t>
  </si>
  <si>
    <t>5004986</t>
  </si>
  <si>
    <t>BOBINE MADEIRA TIPO A12</t>
  </si>
  <si>
    <t>A141113420</t>
  </si>
  <si>
    <t>5004993</t>
  </si>
  <si>
    <t>BOBINE MADEIRA TIPO A18</t>
  </si>
  <si>
    <t>F18-0138</t>
  </si>
  <si>
    <t>5004983</t>
  </si>
  <si>
    <t>BOBINE MADEIRA TIPO A6</t>
  </si>
  <si>
    <t>P06-5055</t>
  </si>
  <si>
    <t>5000528</t>
  </si>
  <si>
    <t>BROCA FERRO HSS 20MM</t>
  </si>
  <si>
    <t>4041950</t>
  </si>
  <si>
    <t>BUCIM PG 21 JSL CZ</t>
  </si>
  <si>
    <t>5018828</t>
  </si>
  <si>
    <t>CABO ACO 10MM</t>
  </si>
  <si>
    <t>4003058</t>
  </si>
  <si>
    <t>CABO ACO 3MM</t>
  </si>
  <si>
    <t>4011117</t>
  </si>
  <si>
    <t>CABO LXV 1X70</t>
  </si>
  <si>
    <t>4003227</t>
  </si>
  <si>
    <t>CABO XV 2X2,5+T PT. (V/A/AZ/CT)</t>
  </si>
  <si>
    <t>4003273</t>
  </si>
  <si>
    <t>CABO XV 5X2,5 PT. (V/A/AZ/CT/PT/CZ)</t>
  </si>
  <si>
    <t>4028050</t>
  </si>
  <si>
    <t>CAIXA CONEXAO INDUTIVA</t>
  </si>
  <si>
    <t>4020085</t>
  </si>
  <si>
    <t>CAIXA DERIV.SALIEN. ATEX GEWISS GW76291</t>
  </si>
  <si>
    <t>4049190</t>
  </si>
  <si>
    <t>CANTON INOX P/CDTE FT AÇO COB BARRA TERR</t>
  </si>
  <si>
    <t>3002585</t>
  </si>
  <si>
    <t>CAPACETE NORMAL</t>
  </si>
  <si>
    <t>4037907</t>
  </si>
  <si>
    <t>CARTUCHO KLK C 95</t>
  </si>
  <si>
    <t>5016465</t>
  </si>
  <si>
    <t>CERRA CABOS 5/16" 8MM</t>
  </si>
  <si>
    <t>5004614</t>
  </si>
  <si>
    <t>CHAVE FENDA A5.5X150 VE</t>
  </si>
  <si>
    <t>4019688</t>
  </si>
  <si>
    <t>CHAVE UNIVERSAL</t>
  </si>
  <si>
    <t>5015056</t>
  </si>
  <si>
    <t>CINTA ROQUETE 35MMX6M 2TON</t>
  </si>
  <si>
    <t>4045436</t>
  </si>
  <si>
    <t>CONJ. PARAFUSO C/ SUPORTE EM U M16x60</t>
  </si>
  <si>
    <t>4018800</t>
  </si>
  <si>
    <t>CONJUNTO DE BARRAMENTOS</t>
  </si>
  <si>
    <t>4049009</t>
  </si>
  <si>
    <t>CONTRAPORCA INOX M16</t>
  </si>
  <si>
    <t>3002314</t>
  </si>
  <si>
    <t>CORDA ARNES</t>
  </si>
  <si>
    <t>5018036</t>
  </si>
  <si>
    <t>CORDA NYLON 6MM</t>
  </si>
  <si>
    <t>KG</t>
  </si>
  <si>
    <t>4037858</t>
  </si>
  <si>
    <t>CUNHA NIVELADORA UNIVERSAL</t>
  </si>
  <si>
    <t>DIJ0034</t>
  </si>
  <si>
    <t>DISJUNTOR 2P 32A</t>
  </si>
  <si>
    <t>0000471756</t>
  </si>
  <si>
    <t>4036924</t>
  </si>
  <si>
    <t>EC-140/23-PERFIL U 140x60x7 L=550</t>
  </si>
  <si>
    <t>4036925</t>
  </si>
  <si>
    <t>EC-140/24-PERFIL U 140x60x7 L=590</t>
  </si>
  <si>
    <t>4037073</t>
  </si>
  <si>
    <t>EC-279-LIGADPR RBRC-12150</t>
  </si>
  <si>
    <t>4037072</t>
  </si>
  <si>
    <t>EC-281-LIGADOR RCP-15033</t>
  </si>
  <si>
    <t>4049011</t>
  </si>
  <si>
    <t>EC-346_4 PERFIL L60x60x6 L=580MM</t>
  </si>
  <si>
    <t>4042072</t>
  </si>
  <si>
    <t>ESQUADRO TRAVAMENTO TS35</t>
  </si>
  <si>
    <t>4001665</t>
  </si>
  <si>
    <t>ESTACA MADEIRA 70CM</t>
  </si>
  <si>
    <t>4019888</t>
  </si>
  <si>
    <t>ESTICADOR DE CABO TELEMEC X</t>
  </si>
  <si>
    <t>5003472</t>
  </si>
  <si>
    <t>ETM - ARNES CINTO SEGURANCA ANTI QUEDAS</t>
  </si>
  <si>
    <t>4003679</t>
  </si>
  <si>
    <t>EXTENSAO TRIPLA C/T 3MTS.</t>
  </si>
  <si>
    <t>4001935</t>
  </si>
  <si>
    <t>FECHADURA UNIVERSAL</t>
  </si>
  <si>
    <t>4038467</t>
  </si>
  <si>
    <t>FITA ACO COBREADO 30X3,5MM</t>
  </si>
  <si>
    <t>4003810</t>
  </si>
  <si>
    <t>FITA PERFURADA ZINCADA 12X0,8</t>
  </si>
  <si>
    <t>4039483</t>
  </si>
  <si>
    <t>FUSIVEL 2,5A</t>
  </si>
  <si>
    <t>4037070</t>
  </si>
  <si>
    <t>FUSIVEL 6,3AX36KV C/PERCURTOR</t>
  </si>
  <si>
    <t>5003751</t>
  </si>
  <si>
    <t>GARRAFA ACETILENO GRANDE</t>
  </si>
  <si>
    <t>4015739</t>
  </si>
  <si>
    <t>GARRAFA OXIGENIO S0,5 2228</t>
  </si>
  <si>
    <t>4015909</t>
  </si>
  <si>
    <t>KIT P/ACOPO. CABO CARRIL 14-16,5 F19 M12</t>
  </si>
  <si>
    <t>LPL0001</t>
  </si>
  <si>
    <t>LAMPADA LED</t>
  </si>
  <si>
    <t>0000495884</t>
  </si>
  <si>
    <t>4004145</t>
  </si>
  <si>
    <t>LIGADOR GARRA JBS C/2 PARAF. LGS-50/120</t>
  </si>
  <si>
    <t>4046821</t>
  </si>
  <si>
    <t>LIGADOR P/TT RBRC-18150</t>
  </si>
  <si>
    <t>5015801</t>
  </si>
  <si>
    <t>LIXA FOLHA 120</t>
  </si>
  <si>
    <t>MTR0001</t>
  </si>
  <si>
    <t>MANGA TERMORRETRATIL</t>
  </si>
  <si>
    <t>0000476653</t>
  </si>
  <si>
    <t>4017767</t>
  </si>
  <si>
    <t>MARCADOR ''#''</t>
  </si>
  <si>
    <t>4004249</t>
  </si>
  <si>
    <t>MARCADOR "."</t>
  </si>
  <si>
    <t>4010527</t>
  </si>
  <si>
    <t>MARCADOR "/"</t>
  </si>
  <si>
    <t>4004215</t>
  </si>
  <si>
    <t>MARCADOR "0"</t>
  </si>
  <si>
    <t>4004216</t>
  </si>
  <si>
    <t>MARCADOR "1"</t>
  </si>
  <si>
    <t>4004217</t>
  </si>
  <si>
    <t>MARCADOR "2"</t>
  </si>
  <si>
    <t>4006413</t>
  </si>
  <si>
    <t>MARCADOR "3"</t>
  </si>
  <si>
    <t>4006414</t>
  </si>
  <si>
    <t>MARCADOR "4"</t>
  </si>
  <si>
    <t>4004218</t>
  </si>
  <si>
    <t>MARCADOR "5"</t>
  </si>
  <si>
    <t>4004219</t>
  </si>
  <si>
    <t>MARCADOR "6"</t>
  </si>
  <si>
    <t>4004220</t>
  </si>
  <si>
    <t>MARCADOR "7"</t>
  </si>
  <si>
    <t>4004221</t>
  </si>
  <si>
    <t>MARCADOR "8"</t>
  </si>
  <si>
    <t>4004222</t>
  </si>
  <si>
    <t>MARCADOR "9"</t>
  </si>
  <si>
    <t>4004223</t>
  </si>
  <si>
    <t>MARCADOR "A"</t>
  </si>
  <si>
    <t>4004224</t>
  </si>
  <si>
    <t>MARCADOR "B"</t>
  </si>
  <si>
    <t>4004225</t>
  </si>
  <si>
    <t>MARCADOR "C"</t>
  </si>
  <si>
    <t>4004226</t>
  </si>
  <si>
    <t>MARCADOR "D"</t>
  </si>
  <si>
    <t>4004227</t>
  </si>
  <si>
    <t>MARCADOR "E"</t>
  </si>
  <si>
    <t>4004228</t>
  </si>
  <si>
    <t>MARCADOR "F"</t>
  </si>
  <si>
    <t>4004229</t>
  </si>
  <si>
    <t>MARCADOR "G"</t>
  </si>
  <si>
    <t>4004231</t>
  </si>
  <si>
    <t>MARCADOR "I"</t>
  </si>
  <si>
    <t>4004232</t>
  </si>
  <si>
    <t>MARCADOR "J"</t>
  </si>
  <si>
    <t>4004234</t>
  </si>
  <si>
    <t>MARCADOR "L"</t>
  </si>
  <si>
    <t>4004235</t>
  </si>
  <si>
    <t>MARCADOR "M"</t>
  </si>
  <si>
    <t>4004238</t>
  </si>
  <si>
    <t>MARCADOR "P"</t>
  </si>
  <si>
    <t>4004239</t>
  </si>
  <si>
    <t>MARCADOR "Q"</t>
  </si>
  <si>
    <t>4004240</t>
  </si>
  <si>
    <t>MARCADOR "R"</t>
  </si>
  <si>
    <t>4004241</t>
  </si>
  <si>
    <t>MARCADOR "S"</t>
  </si>
  <si>
    <t>4004242</t>
  </si>
  <si>
    <t>MARCADOR "T"</t>
  </si>
  <si>
    <t>4004243</t>
  </si>
  <si>
    <t>MARCADOR "U"</t>
  </si>
  <si>
    <t>4004244</t>
  </si>
  <si>
    <t>MARCADOR "V"</t>
  </si>
  <si>
    <t>5004471</t>
  </si>
  <si>
    <t>MARRETA 3KG</t>
  </si>
  <si>
    <t>4037906</t>
  </si>
  <si>
    <t>MOLDE KLK CC-L 70/70</t>
  </si>
  <si>
    <t>4032317</t>
  </si>
  <si>
    <t>PARAFUSO GALV. M12X80/30</t>
  </si>
  <si>
    <t>4038591</t>
  </si>
  <si>
    <t>PARAFUSO M8X40/40 C/HU+ANILHA MOLA</t>
  </si>
  <si>
    <t>4046160</t>
  </si>
  <si>
    <t>PARAFUSO SEXT. M10X60 GQ </t>
  </si>
  <si>
    <t>4006307</t>
  </si>
  <si>
    <t>PARAFUSO SEXT. ZN M10X30</t>
  </si>
  <si>
    <t>4004312</t>
  </si>
  <si>
    <t>PARAFUSO SEXT. ZN M10X40</t>
  </si>
  <si>
    <t>4011575</t>
  </si>
  <si>
    <t>PARAFUSO SEXT. ZN M10X45</t>
  </si>
  <si>
    <t>4004336</t>
  </si>
  <si>
    <t>PARAFUSO SEXT. ZN M10X80</t>
  </si>
  <si>
    <t>4027442</t>
  </si>
  <si>
    <t>PARAFUSO SEXT. ZN M12X45</t>
  </si>
  <si>
    <t>4004337</t>
  </si>
  <si>
    <t>PARAFUSO SEXT. ZN M12X60</t>
  </si>
  <si>
    <t>4035101</t>
  </si>
  <si>
    <t>PASTA SELANTE KLK 0,9KG</t>
  </si>
  <si>
    <t>4037908</t>
  </si>
  <si>
    <t>PINCA KLK TSC 80</t>
  </si>
  <si>
    <t>4049186</t>
  </si>
  <si>
    <t>PLACA ATERRAMENTO CU 82X82/AÇO 16MM 90º</t>
  </si>
  <si>
    <t>5005589</t>
  </si>
  <si>
    <t>PONTEIRA PH 2</t>
  </si>
  <si>
    <t>4032390</t>
  </si>
  <si>
    <t>PORCA GALV. M20</t>
  </si>
  <si>
    <t>4032392</t>
  </si>
  <si>
    <t>PORCA GALV. M30</t>
  </si>
  <si>
    <t>4031416</t>
  </si>
  <si>
    <t>PORCA INOX M16</t>
  </si>
  <si>
    <t>4004403</t>
  </si>
  <si>
    <t>PORCA SEXT. ZN. M10</t>
  </si>
  <si>
    <t>4004400</t>
  </si>
  <si>
    <t>PORCA SEXT. ZN. M12</t>
  </si>
  <si>
    <t>5003096</t>
  </si>
  <si>
    <t>PORTA CHAVES C/ ETIQUETA</t>
  </si>
  <si>
    <t>4010640</t>
  </si>
  <si>
    <t>PORTA MARCADORES AT3 C/14 NUM. PRETO</t>
  </si>
  <si>
    <t>4037071</t>
  </si>
  <si>
    <t>PORTA-FUSIVEL</t>
  </si>
  <si>
    <t>4046102</t>
  </si>
  <si>
    <t>POSTE HE180A L=8,8M</t>
  </si>
  <si>
    <t>4026266</t>
  </si>
  <si>
    <t>POSTE HE180A L=9,20M</t>
  </si>
  <si>
    <t>4026267</t>
  </si>
  <si>
    <t>POSTE HE180A L=9,60M</t>
  </si>
  <si>
    <t>4026271</t>
  </si>
  <si>
    <t>POSTE HE200A L=10,00M</t>
  </si>
  <si>
    <t>4046103</t>
  </si>
  <si>
    <t>POSTE HE200A L=10,4M</t>
  </si>
  <si>
    <t>4046104</t>
  </si>
  <si>
    <t>POSTE HE200A L=10,8M</t>
  </si>
  <si>
    <t>4046105</t>
  </si>
  <si>
    <t>POSTE HE200A L=11,2M</t>
  </si>
  <si>
    <t>4046106</t>
  </si>
  <si>
    <t>POSTE HE200A L=8,8M</t>
  </si>
  <si>
    <t>4026269</t>
  </si>
  <si>
    <t>POSTE HE200A L=9,20M</t>
  </si>
  <si>
    <t>4026270</t>
  </si>
  <si>
    <t>POSTE HE200A L=9,60M</t>
  </si>
  <si>
    <t>4036356</t>
  </si>
  <si>
    <t>POSTE HE220B COM 9,20M</t>
  </si>
  <si>
    <t>4026276</t>
  </si>
  <si>
    <t>POSTE HE220B L=10,00M</t>
  </si>
  <si>
    <t>4046111</t>
  </si>
  <si>
    <t>POSTE HE220B L=10,4M</t>
  </si>
  <si>
    <t>4026275</t>
  </si>
  <si>
    <t>POSTE HE220B L=9,60M</t>
  </si>
  <si>
    <t>4046112</t>
  </si>
  <si>
    <t>POSTE HE240A L=3,8M</t>
  </si>
  <si>
    <t>4036360</t>
  </si>
  <si>
    <t>POSTE HE240B COM 10,00M</t>
  </si>
  <si>
    <t>4036357</t>
  </si>
  <si>
    <t>POSTE HE240B COM 10,40M</t>
  </si>
  <si>
    <t>4046107</t>
  </si>
  <si>
    <t>POSTE HE260A L=10,8M</t>
  </si>
  <si>
    <t>4046109</t>
  </si>
  <si>
    <t>POSTE HE300A L=10,8M</t>
  </si>
  <si>
    <t>4046110</t>
  </si>
  <si>
    <t>POSTE HE300A L=11,2M</t>
  </si>
  <si>
    <t>4004491</t>
  </si>
  <si>
    <t>SERRA CABOS 6MM</t>
  </si>
  <si>
    <t>5005185</t>
  </si>
  <si>
    <t>SERRA CRANEANA</t>
  </si>
  <si>
    <t>5000437</t>
  </si>
  <si>
    <t>SPRAY LUBRIFICANTE WD40</t>
  </si>
  <si>
    <t>5000100</t>
  </si>
  <si>
    <t>SPRAYS ZINCO BRILHANTE</t>
  </si>
  <si>
    <t>4049187</t>
  </si>
  <si>
    <t>TERMINAL BIMET. CU-AL 50-F12</t>
  </si>
  <si>
    <t>4049188</t>
  </si>
  <si>
    <t>TERMINAL BIMET. CU-AL 70-F12</t>
  </si>
  <si>
    <t>4049189</t>
  </si>
  <si>
    <t>TERMINAL BIMET. CU-AL 95-F12</t>
  </si>
  <si>
    <t>5004002</t>
  </si>
  <si>
    <t>TOALHA P/MAOS PAPEL</t>
  </si>
  <si>
    <t>CX</t>
  </si>
  <si>
    <t>4026291</t>
  </si>
  <si>
    <t>TRANSFORMADOR TENSAO (EC-23</t>
  </si>
  <si>
    <t>4001553</t>
  </si>
  <si>
    <t>TUBO FERRO GALVANIZADO 1'</t>
  </si>
  <si>
    <t>4011998</t>
  </si>
  <si>
    <t>TUBO GALVANIZADO 2''1/2''</t>
  </si>
  <si>
    <t>4011997</t>
  </si>
  <si>
    <t>TUBO GALVANIZADO 3''</t>
  </si>
  <si>
    <t>4014378</t>
  </si>
  <si>
    <t>TUBO HIDROFLEX 3/4''</t>
  </si>
  <si>
    <t>4046037</t>
  </si>
  <si>
    <t>TUBO PEAD PN10 DN110 VARA</t>
  </si>
  <si>
    <t>4004766</t>
  </si>
  <si>
    <t>UNIAO P/ ELECTRODO TERRA</t>
  </si>
  <si>
    <t>4036833</t>
  </si>
  <si>
    <t>UNIAO RESINA</t>
  </si>
  <si>
    <t>4045435</t>
  </si>
  <si>
    <t>UNIAO VD 110MM CR</t>
  </si>
  <si>
    <t>Material</t>
  </si>
  <si>
    <t>Texto breve material</t>
  </si>
  <si>
    <t>Lote</t>
  </si>
  <si>
    <t>Centro</t>
  </si>
  <si>
    <t>Depósito</t>
  </si>
  <si>
    <t>Elemento PEP</t>
  </si>
  <si>
    <t>Estoque total</t>
  </si>
  <si>
    <t>Valor total</t>
  </si>
  <si>
    <t>Consumo</t>
  </si>
  <si>
    <t>Stcock</t>
  </si>
  <si>
    <t>Consumo2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</si>
</sst>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\ &quot;€&quot;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vertical="top"/>
    </xf>
    <xf numFmtId="165" fontId="0" fillId="0" borderId="1" xfId="0" applyNumberFormat="1" applyBorder="1" applyAlignment="1">
      <alignment vertical="top"/>
    </xf>
    <xf numFmtId="165" fontId="0" fillId="0" borderId="0" xfId="0" applyNumberFormat="1" applyAlignment="1">
      <alignment horizontal="right" vertical="top"/>
    </xf>
    <xf numFmtId="165" fontId="0" fillId="0" borderId="0" xfId="0" applyNumberFormat="1" applyAlignment="1">
      <alignment vertical="top"/>
    </xf>
    <xf numFmtId="165" fontId="0" fillId="2" borderId="0" xfId="0" applyNumberFormat="1" applyFill="1" applyAlignment="1">
      <alignment vertical="top"/>
    </xf>
    <xf numFmtId="165" fontId="0" fillId="3" borderId="0" xfId="0" applyNumberForma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14">
    <dxf>
      <numFmt numFmtId="165" formatCode="#,##0.00\ &quot;€&quot;"/>
      <fill>
        <patternFill patternType="none">
          <fgColor indexed="64"/>
          <bgColor auto="1"/>
        </patternFill>
      </fill>
    </dxf>
    <dxf>
      <numFmt numFmtId="164" formatCode="#,##0.0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64" formatCode="#,##0.0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2306A-023B-4D9B-AE64-DFA0A38C1E8F}" name="Tabela1" displayName="Tabela1" ref="A1:L434" totalsRowShown="0" headerRowDxfId="13" dataDxfId="12">
  <autoFilter ref="A1:L434" xr:uid="{CEA2306A-023B-4D9B-AE64-DFA0A38C1E8F}"/>
  <tableColumns count="12">
    <tableColumn id="1" xr3:uid="{FE95878B-F12D-4656-806F-9459B6E6FEA6}" name="Material" dataDxfId="11"/>
    <tableColumn id="2" xr3:uid="{30FCF4BB-2A15-4A6F-B42A-9721AC42C448}" name="Texto breve material" dataDxfId="10"/>
    <tableColumn id="3" xr3:uid="{E0D89A2F-2077-41F0-A753-AC1FA0BB0F66}" name="Lote" dataDxfId="9"/>
    <tableColumn id="4" xr3:uid="{033EED5B-C44F-4EF0-A911-C80D3B4199D3}" name="Centro" dataDxfId="8"/>
    <tableColumn id="5" xr3:uid="{836529F3-AE79-4AF5-881C-706FC94F2910}" name="Depósito" dataDxfId="7"/>
    <tableColumn id="6" xr3:uid="{01CEEA7D-EC41-4CD1-83A5-71B1A6E5AF63}" name="Elemento PEP" dataDxfId="6"/>
    <tableColumn id="7" xr3:uid="{72CABFDA-071C-481F-B6F8-0FEE44A4807A}" name="Estoque total" dataDxfId="5"/>
    <tableColumn id="8" xr3:uid="{90E5817A-08CC-46BA-B06B-4445EF2E4EDA}" name="UN" dataDxfId="4"/>
    <tableColumn id="9" xr3:uid="{56CD1A44-88BC-4F85-87AF-5DBCDA44F54F}" name="Valor total" dataDxfId="3"/>
    <tableColumn id="10" xr3:uid="{ADC2CA7C-9880-4B2D-B63C-8B97591A39A3}" name="Consumo" dataDxfId="2"/>
    <tableColumn id="11" xr3:uid="{23C33BD7-8382-472A-A40D-3A303DC5A4E9}" name="Stcock" dataDxfId="1">
      <calculatedColumnFormula>Tabela1[[#This Row],[Estoque total]]-Tabela1[[#This Row],[Consumo]]</calculatedColumnFormula>
    </tableColumn>
    <tableColumn id="12" xr3:uid="{6D5D8AEA-0546-4699-AA6A-673A6908DCA1}" name="Consumo2" dataDxfId="0">
      <calculatedColumnFormula>(Tabela1[[#This Row],[Valor total]]/Tabela1[[#This Row],[Estoque total]])*Tabela1[[#This Row],[Consumo]]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6"/>
  <sheetViews>
    <sheetView tabSelected="1" topLeftCell="A346" workbookViewId="0">
      <selection activeCell="J383" sqref="J383"/>
    </sheetView>
  </sheetViews>
  <sheetFormatPr defaultRowHeight="13.2" x14ac:dyDescent="0.25"/>
  <cols>
    <col min="1" max="1" width="10.109375" customWidth="1"/>
    <col min="2" max="2" width="47" bestFit="1" customWidth="1"/>
    <col min="3" max="3" width="11" bestFit="1" customWidth="1"/>
    <col min="4" max="4" width="9.21875" bestFit="1" customWidth="1"/>
    <col min="5" max="5" width="11.109375" bestFit="1" customWidth="1"/>
    <col min="6" max="6" width="15.88671875" bestFit="1" customWidth="1"/>
    <col min="7" max="7" width="14.88671875" bestFit="1" customWidth="1"/>
    <col min="8" max="8" width="5.88671875" bestFit="1" customWidth="1"/>
    <col min="9" max="9" width="12" style="7" bestFit="1" customWidth="1"/>
    <col min="10" max="10" width="11.44140625" bestFit="1" customWidth="1"/>
    <col min="11" max="11" width="9.88671875" bestFit="1" customWidth="1"/>
    <col min="12" max="12" width="12.44140625" bestFit="1" customWidth="1"/>
  </cols>
  <sheetData>
    <row r="1" spans="1:12" x14ac:dyDescent="0.25">
      <c r="A1" s="1" t="s">
        <v>855</v>
      </c>
      <c r="B1" s="1" t="s">
        <v>856</v>
      </c>
      <c r="C1" s="1" t="s">
        <v>857</v>
      </c>
      <c r="D1" s="1" t="s">
        <v>858</v>
      </c>
      <c r="E1" s="1" t="s">
        <v>859</v>
      </c>
      <c r="F1" s="1" t="s">
        <v>860</v>
      </c>
      <c r="G1" s="1" t="s">
        <v>861</v>
      </c>
      <c r="H1" s="1" t="s">
        <v>6</v>
      </c>
      <c r="I1" s="5" t="s">
        <v>862</v>
      </c>
      <c r="J1" t="s">
        <v>863</v>
      </c>
      <c r="K1" t="s">
        <v>864</v>
      </c>
      <c r="L1" t="s">
        <v>865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64</v>
      </c>
      <c r="H2" t="s">
        <v>6</v>
      </c>
      <c r="I2" s="6">
        <v>497.28</v>
      </c>
      <c r="K2" s="4">
        <f>Tabela1[[#This Row],[Estoque total]]-Tabela1[[#This Row],[Consumo]]</f>
        <v>64</v>
      </c>
      <c r="L2" s="7">
        <f>(Tabela1[[#This Row],[Valor total]]/Tabela1[[#This Row],[Estoque total]])*Tabela1[[#This Row],[Consumo]]</f>
        <v>0</v>
      </c>
    </row>
    <row r="3" spans="1:12" x14ac:dyDescent="0.25">
      <c r="A3" t="s">
        <v>7</v>
      </c>
      <c r="B3" t="s">
        <v>8</v>
      </c>
      <c r="C3" t="s">
        <v>2</v>
      </c>
      <c r="D3" t="s">
        <v>3</v>
      </c>
      <c r="E3" t="s">
        <v>4</v>
      </c>
      <c r="F3" t="s">
        <v>5</v>
      </c>
      <c r="G3" s="2">
        <v>208</v>
      </c>
      <c r="H3" t="s">
        <v>6</v>
      </c>
      <c r="I3" s="6">
        <v>743.13</v>
      </c>
      <c r="K3" s="4">
        <f>Tabela1[[#This Row],[Estoque total]]-Tabela1[[#This Row],[Consumo]]</f>
        <v>208</v>
      </c>
      <c r="L3" s="7">
        <f>(Tabela1[[#This Row],[Valor total]]/Tabela1[[#This Row],[Estoque total]])*Tabela1[[#This Row],[Consumo]]</f>
        <v>0</v>
      </c>
    </row>
    <row r="4" spans="1:12" x14ac:dyDescent="0.25">
      <c r="A4" t="s">
        <v>9</v>
      </c>
      <c r="B4" t="s">
        <v>10</v>
      </c>
      <c r="C4" t="s">
        <v>2</v>
      </c>
      <c r="D4" t="s">
        <v>3</v>
      </c>
      <c r="E4" t="s">
        <v>4</v>
      </c>
      <c r="F4" t="s">
        <v>5</v>
      </c>
      <c r="G4" s="2">
        <v>39</v>
      </c>
      <c r="H4" t="s">
        <v>6</v>
      </c>
      <c r="I4" s="6">
        <v>768.3</v>
      </c>
      <c r="K4" s="4">
        <f>Tabela1[[#This Row],[Estoque total]]-Tabela1[[#This Row],[Consumo]]</f>
        <v>39</v>
      </c>
      <c r="L4" s="7">
        <f>(Tabela1[[#This Row],[Valor total]]/Tabela1[[#This Row],[Estoque total]])*Tabela1[[#This Row],[Consumo]]</f>
        <v>0</v>
      </c>
    </row>
    <row r="5" spans="1:12" x14ac:dyDescent="0.25">
      <c r="A5" t="s">
        <v>11</v>
      </c>
      <c r="B5" t="s">
        <v>12</v>
      </c>
      <c r="C5" t="s">
        <v>2</v>
      </c>
      <c r="D5" t="s">
        <v>3</v>
      </c>
      <c r="E5" t="s">
        <v>4</v>
      </c>
      <c r="F5" t="s">
        <v>5</v>
      </c>
      <c r="G5" s="2">
        <v>304</v>
      </c>
      <c r="H5" t="s">
        <v>6</v>
      </c>
      <c r="I5" s="6">
        <v>7417.6</v>
      </c>
      <c r="K5" s="4">
        <f>Tabela1[[#This Row],[Estoque total]]-Tabela1[[#This Row],[Consumo]]</f>
        <v>304</v>
      </c>
      <c r="L5" s="7">
        <f>(Tabela1[[#This Row],[Valor total]]/Tabela1[[#This Row],[Estoque total]])*Tabela1[[#This Row],[Consumo]]</f>
        <v>0</v>
      </c>
    </row>
    <row r="6" spans="1:12" x14ac:dyDescent="0.25">
      <c r="A6" t="s">
        <v>13</v>
      </c>
      <c r="B6" t="s">
        <v>14</v>
      </c>
      <c r="C6" t="s">
        <v>2</v>
      </c>
      <c r="D6" t="s">
        <v>3</v>
      </c>
      <c r="E6" t="s">
        <v>4</v>
      </c>
      <c r="F6" t="s">
        <v>5</v>
      </c>
      <c r="G6" s="2">
        <v>53</v>
      </c>
      <c r="H6" t="s">
        <v>6</v>
      </c>
      <c r="I6" s="6">
        <v>2231.3000000000002</v>
      </c>
      <c r="K6" s="4">
        <f>Tabela1[[#This Row],[Estoque total]]-Tabela1[[#This Row],[Consumo]]</f>
        <v>53</v>
      </c>
      <c r="L6" s="7">
        <f>(Tabela1[[#This Row],[Valor total]]/Tabela1[[#This Row],[Estoque total]])*Tabela1[[#This Row],[Consumo]]</f>
        <v>0</v>
      </c>
    </row>
    <row r="7" spans="1:12" x14ac:dyDescent="0.25">
      <c r="A7" t="s">
        <v>15</v>
      </c>
      <c r="B7" t="s">
        <v>16</v>
      </c>
      <c r="C7" t="s">
        <v>2</v>
      </c>
      <c r="D7" t="s">
        <v>3</v>
      </c>
      <c r="E7" t="s">
        <v>4</v>
      </c>
      <c r="F7" t="s">
        <v>5</v>
      </c>
      <c r="G7" s="2">
        <v>1</v>
      </c>
      <c r="H7" t="s">
        <v>6</v>
      </c>
      <c r="I7" s="6">
        <v>61.82</v>
      </c>
      <c r="K7" s="4">
        <f>Tabela1[[#This Row],[Estoque total]]-Tabela1[[#This Row],[Consumo]]</f>
        <v>1</v>
      </c>
      <c r="L7" s="7">
        <f>(Tabela1[[#This Row],[Valor total]]/Tabela1[[#This Row],[Estoque total]])*Tabela1[[#This Row],[Consumo]]</f>
        <v>0</v>
      </c>
    </row>
    <row r="8" spans="1:12" x14ac:dyDescent="0.25">
      <c r="A8" t="s">
        <v>17</v>
      </c>
      <c r="B8" t="s">
        <v>18</v>
      </c>
      <c r="C8" t="s">
        <v>2</v>
      </c>
      <c r="D8" t="s">
        <v>3</v>
      </c>
      <c r="E8" t="s">
        <v>4</v>
      </c>
      <c r="F8" t="s">
        <v>19</v>
      </c>
      <c r="G8" s="2">
        <v>2</v>
      </c>
      <c r="H8" t="s">
        <v>6</v>
      </c>
      <c r="I8" s="6">
        <v>35.700000000000003</v>
      </c>
      <c r="K8" s="4">
        <f>Tabela1[[#This Row],[Estoque total]]-Tabela1[[#This Row],[Consumo]]</f>
        <v>2</v>
      </c>
      <c r="L8" s="7">
        <f>(Tabela1[[#This Row],[Valor total]]/Tabela1[[#This Row],[Estoque total]])*Tabela1[[#This Row],[Consumo]]</f>
        <v>0</v>
      </c>
    </row>
    <row r="9" spans="1:12" x14ac:dyDescent="0.25">
      <c r="A9" t="s">
        <v>17</v>
      </c>
      <c r="B9" t="s">
        <v>18</v>
      </c>
      <c r="C9" t="s">
        <v>2</v>
      </c>
      <c r="D9" t="s">
        <v>3</v>
      </c>
      <c r="E9" t="s">
        <v>4</v>
      </c>
      <c r="F9" t="s">
        <v>5</v>
      </c>
      <c r="G9" s="2">
        <v>261</v>
      </c>
      <c r="H9" t="s">
        <v>6</v>
      </c>
      <c r="I9" s="6">
        <v>3915</v>
      </c>
      <c r="K9" s="4">
        <f>Tabela1[[#This Row],[Estoque total]]-Tabela1[[#This Row],[Consumo]]</f>
        <v>261</v>
      </c>
      <c r="L9" s="7">
        <f>(Tabela1[[#This Row],[Valor total]]/Tabela1[[#This Row],[Estoque total]])*Tabela1[[#This Row],[Consumo]]</f>
        <v>0</v>
      </c>
    </row>
    <row r="10" spans="1:12" x14ac:dyDescent="0.25">
      <c r="A10" t="s">
        <v>20</v>
      </c>
      <c r="B10" t="s">
        <v>21</v>
      </c>
      <c r="C10" t="s">
        <v>2</v>
      </c>
      <c r="D10" t="s">
        <v>3</v>
      </c>
      <c r="E10" t="s">
        <v>4</v>
      </c>
      <c r="F10" t="s">
        <v>5</v>
      </c>
      <c r="G10" s="2">
        <v>15</v>
      </c>
      <c r="H10" t="s">
        <v>6</v>
      </c>
      <c r="I10" s="6">
        <v>501</v>
      </c>
      <c r="J10">
        <v>9</v>
      </c>
      <c r="K10" s="4">
        <f>Tabela1[[#This Row],[Estoque total]]-Tabela1[[#This Row],[Consumo]]</f>
        <v>6</v>
      </c>
      <c r="L10" s="7">
        <f>(Tabela1[[#This Row],[Valor total]]/Tabela1[[#This Row],[Estoque total]])*Tabela1[[#This Row],[Consumo]]</f>
        <v>300.59999999999997</v>
      </c>
    </row>
    <row r="11" spans="1:12" x14ac:dyDescent="0.25">
      <c r="A11" t="s">
        <v>22</v>
      </c>
      <c r="B11" t="s">
        <v>23</v>
      </c>
      <c r="C11" t="s">
        <v>2</v>
      </c>
      <c r="D11" t="s">
        <v>3</v>
      </c>
      <c r="E11" t="s">
        <v>4</v>
      </c>
      <c r="F11" t="s">
        <v>5</v>
      </c>
      <c r="G11" s="2">
        <v>32</v>
      </c>
      <c r="H11" t="s">
        <v>6</v>
      </c>
      <c r="I11" s="6">
        <v>1112.0999999999999</v>
      </c>
      <c r="J11">
        <v>3</v>
      </c>
      <c r="K11" s="4">
        <f>Tabela1[[#This Row],[Estoque total]]-Tabela1[[#This Row],[Consumo]]</f>
        <v>29</v>
      </c>
      <c r="L11" s="7">
        <f>(Tabela1[[#This Row],[Valor total]]/Tabela1[[#This Row],[Estoque total]])*Tabela1[[#This Row],[Consumo]]</f>
        <v>104.25937499999999</v>
      </c>
    </row>
    <row r="12" spans="1:12" x14ac:dyDescent="0.25">
      <c r="A12" t="s">
        <v>24</v>
      </c>
      <c r="B12" t="s">
        <v>25</v>
      </c>
      <c r="C12" t="s">
        <v>2</v>
      </c>
      <c r="D12" t="s">
        <v>3</v>
      </c>
      <c r="E12" t="s">
        <v>4</v>
      </c>
      <c r="F12" t="s">
        <v>5</v>
      </c>
      <c r="G12" s="2">
        <v>8</v>
      </c>
      <c r="H12" t="s">
        <v>6</v>
      </c>
      <c r="I12" s="6">
        <v>62.56</v>
      </c>
      <c r="K12" s="4">
        <f>Tabela1[[#This Row],[Estoque total]]-Tabela1[[#This Row],[Consumo]]</f>
        <v>8</v>
      </c>
      <c r="L12" s="7">
        <f>(Tabela1[[#This Row],[Valor total]]/Tabela1[[#This Row],[Estoque total]])*Tabela1[[#This Row],[Consumo]]</f>
        <v>0</v>
      </c>
    </row>
    <row r="13" spans="1:12" x14ac:dyDescent="0.25">
      <c r="A13" t="s">
        <v>26</v>
      </c>
      <c r="B13" t="s">
        <v>27</v>
      </c>
      <c r="C13" t="s">
        <v>2</v>
      </c>
      <c r="D13" t="s">
        <v>3</v>
      </c>
      <c r="E13" t="s">
        <v>4</v>
      </c>
      <c r="F13" t="s">
        <v>5</v>
      </c>
      <c r="G13" s="2">
        <v>4</v>
      </c>
      <c r="H13" t="s">
        <v>6</v>
      </c>
      <c r="I13" s="6">
        <v>60.84</v>
      </c>
      <c r="K13" s="4">
        <f>Tabela1[[#This Row],[Estoque total]]-Tabela1[[#This Row],[Consumo]]</f>
        <v>4</v>
      </c>
      <c r="L13" s="7">
        <f>(Tabela1[[#This Row],[Valor total]]/Tabela1[[#This Row],[Estoque total]])*Tabela1[[#This Row],[Consumo]]</f>
        <v>0</v>
      </c>
    </row>
    <row r="14" spans="1:12" x14ac:dyDescent="0.25">
      <c r="A14" t="s">
        <v>28</v>
      </c>
      <c r="B14" t="s">
        <v>29</v>
      </c>
      <c r="C14" t="s">
        <v>2</v>
      </c>
      <c r="D14" t="s">
        <v>3</v>
      </c>
      <c r="E14" t="s">
        <v>4</v>
      </c>
      <c r="F14" t="s">
        <v>5</v>
      </c>
      <c r="G14" s="2">
        <v>29</v>
      </c>
      <c r="H14" t="s">
        <v>6</v>
      </c>
      <c r="I14" s="6">
        <v>217.5</v>
      </c>
      <c r="K14" s="4">
        <f>Tabela1[[#This Row],[Estoque total]]-Tabela1[[#This Row],[Consumo]]</f>
        <v>29</v>
      </c>
      <c r="L14" s="7">
        <f>(Tabela1[[#This Row],[Valor total]]/Tabela1[[#This Row],[Estoque total]])*Tabela1[[#This Row],[Consumo]]</f>
        <v>0</v>
      </c>
    </row>
    <row r="15" spans="1:12" x14ac:dyDescent="0.25">
      <c r="A15" t="s">
        <v>30</v>
      </c>
      <c r="B15" t="s">
        <v>31</v>
      </c>
      <c r="C15" t="s">
        <v>2</v>
      </c>
      <c r="D15" t="s">
        <v>3</v>
      </c>
      <c r="E15" t="s">
        <v>4</v>
      </c>
      <c r="F15" t="s">
        <v>5</v>
      </c>
      <c r="G15" s="2">
        <v>1183.1500000000001</v>
      </c>
      <c r="H15" t="s">
        <v>6</v>
      </c>
      <c r="I15" s="6">
        <v>7827.92</v>
      </c>
      <c r="J15">
        <v>8</v>
      </c>
      <c r="K15" s="4">
        <f>Tabela1[[#This Row],[Estoque total]]-Tabela1[[#This Row],[Consumo]]</f>
        <v>1175.1500000000001</v>
      </c>
      <c r="L15" s="7">
        <f>(Tabela1[[#This Row],[Valor total]]/Tabela1[[#This Row],[Estoque total]])*Tabela1[[#This Row],[Consumo]]</f>
        <v>52.929349617546379</v>
      </c>
    </row>
    <row r="16" spans="1:12" x14ac:dyDescent="0.25">
      <c r="A16" t="s">
        <v>32</v>
      </c>
      <c r="B16" t="s">
        <v>33</v>
      </c>
      <c r="C16" t="s">
        <v>2</v>
      </c>
      <c r="D16" t="s">
        <v>3</v>
      </c>
      <c r="E16" t="s">
        <v>4</v>
      </c>
      <c r="F16" t="s">
        <v>5</v>
      </c>
      <c r="G16" s="2">
        <v>739</v>
      </c>
      <c r="H16" t="s">
        <v>6</v>
      </c>
      <c r="I16" s="6">
        <v>6935.72</v>
      </c>
      <c r="K16" s="4">
        <f>Tabela1[[#This Row],[Estoque total]]-Tabela1[[#This Row],[Consumo]]</f>
        <v>739</v>
      </c>
      <c r="L16" s="7">
        <f>(Tabela1[[#This Row],[Valor total]]/Tabela1[[#This Row],[Estoque total]])*Tabela1[[#This Row],[Consumo]]</f>
        <v>0</v>
      </c>
    </row>
    <row r="17" spans="1:12" x14ac:dyDescent="0.25">
      <c r="A17" t="s">
        <v>34</v>
      </c>
      <c r="B17" t="s">
        <v>35</v>
      </c>
      <c r="C17" t="s">
        <v>2</v>
      </c>
      <c r="D17" t="s">
        <v>3</v>
      </c>
      <c r="E17" t="s">
        <v>4</v>
      </c>
      <c r="F17" t="s">
        <v>19</v>
      </c>
      <c r="G17" s="2">
        <v>48</v>
      </c>
      <c r="H17" t="s">
        <v>6</v>
      </c>
      <c r="I17" s="6">
        <v>716.64</v>
      </c>
      <c r="K17" s="4">
        <f>Tabela1[[#This Row],[Estoque total]]-Tabela1[[#This Row],[Consumo]]</f>
        <v>48</v>
      </c>
      <c r="L17" s="7">
        <f>(Tabela1[[#This Row],[Valor total]]/Tabela1[[#This Row],[Estoque total]])*Tabela1[[#This Row],[Consumo]]</f>
        <v>0</v>
      </c>
    </row>
    <row r="18" spans="1:12" x14ac:dyDescent="0.25">
      <c r="A18" t="s">
        <v>34</v>
      </c>
      <c r="B18" t="s">
        <v>35</v>
      </c>
      <c r="C18" t="s">
        <v>2</v>
      </c>
      <c r="D18" t="s">
        <v>3</v>
      </c>
      <c r="E18" t="s">
        <v>4</v>
      </c>
      <c r="F18" t="s">
        <v>5</v>
      </c>
      <c r="G18" s="2">
        <v>667</v>
      </c>
      <c r="H18" t="s">
        <v>6</v>
      </c>
      <c r="I18" s="6">
        <v>6912.52</v>
      </c>
      <c r="K18" s="4">
        <f>Tabela1[[#This Row],[Estoque total]]-Tabela1[[#This Row],[Consumo]]</f>
        <v>667</v>
      </c>
      <c r="L18" s="7">
        <f>(Tabela1[[#This Row],[Valor total]]/Tabela1[[#This Row],[Estoque total]])*Tabela1[[#This Row],[Consumo]]</f>
        <v>0</v>
      </c>
    </row>
    <row r="19" spans="1:12" x14ac:dyDescent="0.25">
      <c r="A19" t="s">
        <v>36</v>
      </c>
      <c r="B19" t="s">
        <v>37</v>
      </c>
      <c r="C19" t="s">
        <v>2</v>
      </c>
      <c r="D19" t="s">
        <v>3</v>
      </c>
      <c r="E19" t="s">
        <v>4</v>
      </c>
      <c r="F19" t="s">
        <v>5</v>
      </c>
      <c r="G19" s="2">
        <v>177.21</v>
      </c>
      <c r="H19" t="s">
        <v>6</v>
      </c>
      <c r="I19" s="6">
        <v>2125.84</v>
      </c>
      <c r="K19" s="4">
        <f>Tabela1[[#This Row],[Estoque total]]-Tabela1[[#This Row],[Consumo]]</f>
        <v>177.21</v>
      </c>
      <c r="L19" s="7">
        <f>(Tabela1[[#This Row],[Valor total]]/Tabela1[[#This Row],[Estoque total]])*Tabela1[[#This Row],[Consumo]]</f>
        <v>0</v>
      </c>
    </row>
    <row r="20" spans="1:12" x14ac:dyDescent="0.25">
      <c r="A20" t="s">
        <v>38</v>
      </c>
      <c r="B20" t="s">
        <v>39</v>
      </c>
      <c r="C20" t="s">
        <v>2</v>
      </c>
      <c r="D20" t="s">
        <v>3</v>
      </c>
      <c r="E20" t="s">
        <v>4</v>
      </c>
      <c r="F20" t="s">
        <v>5</v>
      </c>
      <c r="G20" s="2">
        <v>385.13</v>
      </c>
      <c r="H20" t="s">
        <v>6</v>
      </c>
      <c r="I20" s="6">
        <v>5945.41</v>
      </c>
      <c r="K20" s="4">
        <f>Tabela1[[#This Row],[Estoque total]]-Tabela1[[#This Row],[Consumo]]</f>
        <v>385.13</v>
      </c>
      <c r="L20" s="7">
        <f>(Tabela1[[#This Row],[Valor total]]/Tabela1[[#This Row],[Estoque total]])*Tabela1[[#This Row],[Consumo]]</f>
        <v>0</v>
      </c>
    </row>
    <row r="21" spans="1:12" x14ac:dyDescent="0.25">
      <c r="A21" t="s">
        <v>40</v>
      </c>
      <c r="B21" t="s">
        <v>41</v>
      </c>
      <c r="C21" t="s">
        <v>2</v>
      </c>
      <c r="D21" t="s">
        <v>3</v>
      </c>
      <c r="E21" t="s">
        <v>4</v>
      </c>
      <c r="F21" t="s">
        <v>5</v>
      </c>
      <c r="G21" s="2">
        <v>165</v>
      </c>
      <c r="H21" t="s">
        <v>6</v>
      </c>
      <c r="I21" s="6">
        <v>2573.85</v>
      </c>
      <c r="K21" s="4">
        <f>Tabela1[[#This Row],[Estoque total]]-Tabela1[[#This Row],[Consumo]]</f>
        <v>165</v>
      </c>
      <c r="L21" s="7">
        <f>(Tabela1[[#This Row],[Valor total]]/Tabela1[[#This Row],[Estoque total]])*Tabela1[[#This Row],[Consumo]]</f>
        <v>0</v>
      </c>
    </row>
    <row r="22" spans="1:12" x14ac:dyDescent="0.25">
      <c r="A22" t="s">
        <v>42</v>
      </c>
      <c r="B22" t="s">
        <v>43</v>
      </c>
      <c r="C22" t="s">
        <v>2</v>
      </c>
      <c r="D22" t="s">
        <v>3</v>
      </c>
      <c r="E22" t="s">
        <v>4</v>
      </c>
      <c r="F22" t="s">
        <v>5</v>
      </c>
      <c r="G22" s="2">
        <v>18</v>
      </c>
      <c r="H22" t="s">
        <v>6</v>
      </c>
      <c r="I22" s="6">
        <v>329.94</v>
      </c>
      <c r="J22">
        <v>9</v>
      </c>
      <c r="K22" s="4">
        <f>Tabela1[[#This Row],[Estoque total]]-Tabela1[[#This Row],[Consumo]]</f>
        <v>9</v>
      </c>
      <c r="L22" s="7">
        <f>(Tabela1[[#This Row],[Valor total]]/Tabela1[[#This Row],[Estoque total]])*Tabela1[[#This Row],[Consumo]]</f>
        <v>164.96999999999997</v>
      </c>
    </row>
    <row r="23" spans="1:12" x14ac:dyDescent="0.25">
      <c r="A23" t="s">
        <v>44</v>
      </c>
      <c r="B23" t="s">
        <v>45</v>
      </c>
      <c r="C23" t="s">
        <v>2</v>
      </c>
      <c r="D23" t="s">
        <v>3</v>
      </c>
      <c r="E23" t="s">
        <v>4</v>
      </c>
      <c r="F23" t="s">
        <v>5</v>
      </c>
      <c r="G23" s="2">
        <v>56</v>
      </c>
      <c r="H23" t="s">
        <v>6</v>
      </c>
      <c r="I23" s="6">
        <v>353.92</v>
      </c>
      <c r="K23" s="4">
        <f>Tabela1[[#This Row],[Estoque total]]-Tabela1[[#This Row],[Consumo]]</f>
        <v>56</v>
      </c>
      <c r="L23" s="7">
        <f>(Tabela1[[#This Row],[Valor total]]/Tabela1[[#This Row],[Estoque total]])*Tabela1[[#This Row],[Consumo]]</f>
        <v>0</v>
      </c>
    </row>
    <row r="24" spans="1:12" x14ac:dyDescent="0.25">
      <c r="A24" t="s">
        <v>46</v>
      </c>
      <c r="B24" t="s">
        <v>47</v>
      </c>
      <c r="C24" t="s">
        <v>2</v>
      </c>
      <c r="D24" t="s">
        <v>3</v>
      </c>
      <c r="E24" t="s">
        <v>4</v>
      </c>
      <c r="F24" t="s">
        <v>5</v>
      </c>
      <c r="G24" s="2">
        <v>2</v>
      </c>
      <c r="H24" t="s">
        <v>6</v>
      </c>
      <c r="I24" s="6">
        <v>14.3</v>
      </c>
      <c r="K24" s="4">
        <f>Tabela1[[#This Row],[Estoque total]]-Tabela1[[#This Row],[Consumo]]</f>
        <v>2</v>
      </c>
      <c r="L24" s="7">
        <f>(Tabela1[[#This Row],[Valor total]]/Tabela1[[#This Row],[Estoque total]])*Tabela1[[#This Row],[Consumo]]</f>
        <v>0</v>
      </c>
    </row>
    <row r="25" spans="1:12" x14ac:dyDescent="0.25">
      <c r="A25" t="s">
        <v>48</v>
      </c>
      <c r="B25" t="s">
        <v>49</v>
      </c>
      <c r="C25" t="s">
        <v>2</v>
      </c>
      <c r="D25" t="s">
        <v>3</v>
      </c>
      <c r="E25" t="s">
        <v>4</v>
      </c>
      <c r="F25" t="s">
        <v>5</v>
      </c>
      <c r="G25" s="2">
        <v>28</v>
      </c>
      <c r="H25" t="s">
        <v>6</v>
      </c>
      <c r="I25" s="6">
        <v>197.96</v>
      </c>
      <c r="K25" s="4">
        <f>Tabela1[[#This Row],[Estoque total]]-Tabela1[[#This Row],[Consumo]]</f>
        <v>28</v>
      </c>
      <c r="L25" s="7">
        <f>(Tabela1[[#This Row],[Valor total]]/Tabela1[[#This Row],[Estoque total]])*Tabela1[[#This Row],[Consumo]]</f>
        <v>0</v>
      </c>
    </row>
    <row r="26" spans="1:12" x14ac:dyDescent="0.25">
      <c r="A26" t="s">
        <v>50</v>
      </c>
      <c r="B26" t="s">
        <v>51</v>
      </c>
      <c r="C26" t="s">
        <v>2</v>
      </c>
      <c r="D26" t="s">
        <v>3</v>
      </c>
      <c r="E26" t="s">
        <v>4</v>
      </c>
      <c r="F26" t="s">
        <v>5</v>
      </c>
      <c r="G26" s="2">
        <v>5</v>
      </c>
      <c r="H26" t="s">
        <v>6</v>
      </c>
      <c r="I26" s="6">
        <v>41.75</v>
      </c>
      <c r="K26" s="4">
        <f>Tabela1[[#This Row],[Estoque total]]-Tabela1[[#This Row],[Consumo]]</f>
        <v>5</v>
      </c>
      <c r="L26" s="7">
        <f>(Tabela1[[#This Row],[Valor total]]/Tabela1[[#This Row],[Estoque total]])*Tabela1[[#This Row],[Consumo]]</f>
        <v>0</v>
      </c>
    </row>
    <row r="27" spans="1:12" x14ac:dyDescent="0.25">
      <c r="A27" t="s">
        <v>52</v>
      </c>
      <c r="B27" t="s">
        <v>53</v>
      </c>
      <c r="C27" t="s">
        <v>2</v>
      </c>
      <c r="D27" t="s">
        <v>3</v>
      </c>
      <c r="E27" t="s">
        <v>4</v>
      </c>
      <c r="F27" t="s">
        <v>5</v>
      </c>
      <c r="G27" s="2">
        <v>21</v>
      </c>
      <c r="H27" t="s">
        <v>6</v>
      </c>
      <c r="I27" s="6">
        <v>110.25</v>
      </c>
      <c r="K27" s="4">
        <f>Tabela1[[#This Row],[Estoque total]]-Tabela1[[#This Row],[Consumo]]</f>
        <v>21</v>
      </c>
      <c r="L27" s="7">
        <f>(Tabela1[[#This Row],[Valor total]]/Tabela1[[#This Row],[Estoque total]])*Tabela1[[#This Row],[Consumo]]</f>
        <v>0</v>
      </c>
    </row>
    <row r="28" spans="1:12" x14ac:dyDescent="0.25">
      <c r="A28" t="s">
        <v>54</v>
      </c>
      <c r="B28" t="s">
        <v>55</v>
      </c>
      <c r="C28" t="s">
        <v>2</v>
      </c>
      <c r="D28" t="s">
        <v>3</v>
      </c>
      <c r="E28" t="s">
        <v>4</v>
      </c>
      <c r="F28" t="s">
        <v>5</v>
      </c>
      <c r="G28" s="2">
        <v>268</v>
      </c>
      <c r="H28" t="s">
        <v>6</v>
      </c>
      <c r="I28" s="6">
        <v>1055.92</v>
      </c>
      <c r="K28" s="4">
        <f>Tabela1[[#This Row],[Estoque total]]-Tabela1[[#This Row],[Consumo]]</f>
        <v>268</v>
      </c>
      <c r="L28" s="7">
        <f>(Tabela1[[#This Row],[Valor total]]/Tabela1[[#This Row],[Estoque total]])*Tabela1[[#This Row],[Consumo]]</f>
        <v>0</v>
      </c>
    </row>
    <row r="29" spans="1:12" x14ac:dyDescent="0.25">
      <c r="A29" t="s">
        <v>56</v>
      </c>
      <c r="B29" t="s">
        <v>57</v>
      </c>
      <c r="C29" t="s">
        <v>2</v>
      </c>
      <c r="D29" t="s">
        <v>3</v>
      </c>
      <c r="E29" t="s">
        <v>4</v>
      </c>
      <c r="F29" t="s">
        <v>5</v>
      </c>
      <c r="G29" s="2">
        <v>35</v>
      </c>
      <c r="H29" t="s">
        <v>6</v>
      </c>
      <c r="I29" s="6">
        <v>176.4</v>
      </c>
      <c r="K29" s="4">
        <f>Tabela1[[#This Row],[Estoque total]]-Tabela1[[#This Row],[Consumo]]</f>
        <v>35</v>
      </c>
      <c r="L29" s="7">
        <f>(Tabela1[[#This Row],[Valor total]]/Tabela1[[#This Row],[Estoque total]])*Tabela1[[#This Row],[Consumo]]</f>
        <v>0</v>
      </c>
    </row>
    <row r="30" spans="1:12" x14ac:dyDescent="0.25">
      <c r="A30" t="s">
        <v>58</v>
      </c>
      <c r="B30" t="s">
        <v>59</v>
      </c>
      <c r="C30" t="s">
        <v>2</v>
      </c>
      <c r="D30" t="s">
        <v>3</v>
      </c>
      <c r="E30" t="s">
        <v>4</v>
      </c>
      <c r="F30" t="s">
        <v>5</v>
      </c>
      <c r="G30" s="2">
        <v>20</v>
      </c>
      <c r="H30" t="s">
        <v>6</v>
      </c>
      <c r="I30" s="6">
        <v>84.2</v>
      </c>
      <c r="K30" s="4">
        <f>Tabela1[[#This Row],[Estoque total]]-Tabela1[[#This Row],[Consumo]]</f>
        <v>20</v>
      </c>
      <c r="L30" s="7">
        <f>(Tabela1[[#This Row],[Valor total]]/Tabela1[[#This Row],[Estoque total]])*Tabela1[[#This Row],[Consumo]]</f>
        <v>0</v>
      </c>
    </row>
    <row r="31" spans="1:12" x14ac:dyDescent="0.25">
      <c r="A31" t="s">
        <v>60</v>
      </c>
      <c r="B31" t="s">
        <v>61</v>
      </c>
      <c r="C31" t="s">
        <v>2</v>
      </c>
      <c r="D31" t="s">
        <v>3</v>
      </c>
      <c r="E31" t="s">
        <v>4</v>
      </c>
      <c r="F31" t="s">
        <v>5</v>
      </c>
      <c r="G31" s="2">
        <v>56</v>
      </c>
      <c r="H31" t="s">
        <v>6</v>
      </c>
      <c r="I31" s="6">
        <v>246.96</v>
      </c>
      <c r="K31" s="4">
        <f>Tabela1[[#This Row],[Estoque total]]-Tabela1[[#This Row],[Consumo]]</f>
        <v>56</v>
      </c>
      <c r="L31" s="7">
        <f>(Tabela1[[#This Row],[Valor total]]/Tabela1[[#This Row],[Estoque total]])*Tabela1[[#This Row],[Consumo]]</f>
        <v>0</v>
      </c>
    </row>
    <row r="32" spans="1:12" x14ac:dyDescent="0.25">
      <c r="A32" t="s">
        <v>62</v>
      </c>
      <c r="B32" t="s">
        <v>63</v>
      </c>
      <c r="C32" t="s">
        <v>2</v>
      </c>
      <c r="D32" t="s">
        <v>3</v>
      </c>
      <c r="E32" t="s">
        <v>4</v>
      </c>
      <c r="F32" t="s">
        <v>5</v>
      </c>
      <c r="G32" s="2">
        <v>40</v>
      </c>
      <c r="H32" t="s">
        <v>6</v>
      </c>
      <c r="I32" s="6">
        <v>260.8</v>
      </c>
      <c r="K32" s="4">
        <f>Tabela1[[#This Row],[Estoque total]]-Tabela1[[#This Row],[Consumo]]</f>
        <v>40</v>
      </c>
      <c r="L32" s="7">
        <f>(Tabela1[[#This Row],[Valor total]]/Tabela1[[#This Row],[Estoque total]])*Tabela1[[#This Row],[Consumo]]</f>
        <v>0</v>
      </c>
    </row>
    <row r="33" spans="1:12" x14ac:dyDescent="0.25">
      <c r="A33" t="s">
        <v>64</v>
      </c>
      <c r="B33" t="s">
        <v>65</v>
      </c>
      <c r="C33" t="s">
        <v>2</v>
      </c>
      <c r="D33" t="s">
        <v>3</v>
      </c>
      <c r="E33" t="s">
        <v>4</v>
      </c>
      <c r="F33" t="s">
        <v>5</v>
      </c>
      <c r="G33" s="2">
        <v>25</v>
      </c>
      <c r="H33" t="s">
        <v>6</v>
      </c>
      <c r="I33" s="6">
        <v>658.5</v>
      </c>
      <c r="K33" s="4">
        <f>Tabela1[[#This Row],[Estoque total]]-Tabela1[[#This Row],[Consumo]]</f>
        <v>25</v>
      </c>
      <c r="L33" s="7">
        <f>(Tabela1[[#This Row],[Valor total]]/Tabela1[[#This Row],[Estoque total]])*Tabela1[[#This Row],[Consumo]]</f>
        <v>0</v>
      </c>
    </row>
    <row r="34" spans="1:12" x14ac:dyDescent="0.25">
      <c r="A34" t="s">
        <v>66</v>
      </c>
      <c r="B34" t="s">
        <v>67</v>
      </c>
      <c r="C34" t="s">
        <v>2</v>
      </c>
      <c r="D34" t="s">
        <v>3</v>
      </c>
      <c r="E34" t="s">
        <v>4</v>
      </c>
      <c r="F34" t="s">
        <v>5</v>
      </c>
      <c r="G34" s="2">
        <v>14</v>
      </c>
      <c r="H34" t="s">
        <v>6</v>
      </c>
      <c r="I34" s="6">
        <v>24333.4</v>
      </c>
      <c r="K34" s="4">
        <f>Tabela1[[#This Row],[Estoque total]]-Tabela1[[#This Row],[Consumo]]</f>
        <v>14</v>
      </c>
      <c r="L34" s="7">
        <f>(Tabela1[[#This Row],[Valor total]]/Tabela1[[#This Row],[Estoque total]])*Tabela1[[#This Row],[Consumo]]</f>
        <v>0</v>
      </c>
    </row>
    <row r="35" spans="1:12" x14ac:dyDescent="0.25">
      <c r="A35" t="s">
        <v>68</v>
      </c>
      <c r="B35" t="s">
        <v>69</v>
      </c>
      <c r="C35" t="s">
        <v>2</v>
      </c>
      <c r="D35" t="s">
        <v>3</v>
      </c>
      <c r="E35" t="s">
        <v>4</v>
      </c>
      <c r="F35" t="s">
        <v>5</v>
      </c>
      <c r="G35" s="2">
        <v>47</v>
      </c>
      <c r="H35" t="s">
        <v>6</v>
      </c>
      <c r="I35" s="6">
        <v>384.93</v>
      </c>
      <c r="K35" s="4">
        <f>Tabela1[[#This Row],[Estoque total]]-Tabela1[[#This Row],[Consumo]]</f>
        <v>47</v>
      </c>
      <c r="L35" s="7">
        <f>(Tabela1[[#This Row],[Valor total]]/Tabela1[[#This Row],[Estoque total]])*Tabela1[[#This Row],[Consumo]]</f>
        <v>0</v>
      </c>
    </row>
    <row r="36" spans="1:12" x14ac:dyDescent="0.25">
      <c r="A36" t="s">
        <v>70</v>
      </c>
      <c r="B36" t="s">
        <v>71</v>
      </c>
      <c r="C36" t="s">
        <v>2</v>
      </c>
      <c r="D36" t="s">
        <v>3</v>
      </c>
      <c r="E36" t="s">
        <v>4</v>
      </c>
      <c r="F36" t="s">
        <v>5</v>
      </c>
      <c r="G36" s="2">
        <v>20</v>
      </c>
      <c r="H36" t="s">
        <v>6</v>
      </c>
      <c r="I36" s="6">
        <v>192</v>
      </c>
      <c r="K36" s="4">
        <f>Tabela1[[#This Row],[Estoque total]]-Tabela1[[#This Row],[Consumo]]</f>
        <v>20</v>
      </c>
      <c r="L36" s="7">
        <f>(Tabela1[[#This Row],[Valor total]]/Tabela1[[#This Row],[Estoque total]])*Tabela1[[#This Row],[Consumo]]</f>
        <v>0</v>
      </c>
    </row>
    <row r="37" spans="1:12" x14ac:dyDescent="0.25">
      <c r="A37" t="s">
        <v>72</v>
      </c>
      <c r="B37" t="s">
        <v>73</v>
      </c>
      <c r="C37" t="s">
        <v>2</v>
      </c>
      <c r="D37" t="s">
        <v>3</v>
      </c>
      <c r="E37" t="s">
        <v>4</v>
      </c>
      <c r="F37" t="s">
        <v>5</v>
      </c>
      <c r="G37" s="2">
        <v>21</v>
      </c>
      <c r="H37" t="s">
        <v>6</v>
      </c>
      <c r="I37" s="6">
        <v>207.45</v>
      </c>
      <c r="J37">
        <v>2</v>
      </c>
      <c r="K37" s="4">
        <f>Tabela1[[#This Row],[Estoque total]]-Tabela1[[#This Row],[Consumo]]</f>
        <v>19</v>
      </c>
      <c r="L37" s="7">
        <f>(Tabela1[[#This Row],[Valor total]]/Tabela1[[#This Row],[Estoque total]])*Tabela1[[#This Row],[Consumo]]</f>
        <v>19.757142857142856</v>
      </c>
    </row>
    <row r="38" spans="1:12" x14ac:dyDescent="0.25">
      <c r="A38" t="s">
        <v>74</v>
      </c>
      <c r="B38" t="s">
        <v>75</v>
      </c>
      <c r="C38" t="s">
        <v>2</v>
      </c>
      <c r="D38" t="s">
        <v>3</v>
      </c>
      <c r="E38" t="s">
        <v>4</v>
      </c>
      <c r="F38" t="s">
        <v>5</v>
      </c>
      <c r="G38" s="2">
        <v>45</v>
      </c>
      <c r="H38" t="s">
        <v>6</v>
      </c>
      <c r="I38" s="6">
        <v>368.55</v>
      </c>
      <c r="K38" s="4">
        <f>Tabela1[[#This Row],[Estoque total]]-Tabela1[[#This Row],[Consumo]]</f>
        <v>45</v>
      </c>
      <c r="L38" s="7">
        <f>(Tabela1[[#This Row],[Valor total]]/Tabela1[[#This Row],[Estoque total]])*Tabela1[[#This Row],[Consumo]]</f>
        <v>0</v>
      </c>
    </row>
    <row r="39" spans="1:12" x14ac:dyDescent="0.25">
      <c r="A39" t="s">
        <v>76</v>
      </c>
      <c r="B39" t="s">
        <v>77</v>
      </c>
      <c r="C39" t="s">
        <v>2</v>
      </c>
      <c r="D39" t="s">
        <v>3</v>
      </c>
      <c r="E39" t="s">
        <v>4</v>
      </c>
      <c r="F39" t="s">
        <v>5</v>
      </c>
      <c r="G39" s="2">
        <v>20</v>
      </c>
      <c r="H39" t="s">
        <v>6</v>
      </c>
      <c r="I39" s="6">
        <v>192</v>
      </c>
      <c r="K39" s="4">
        <f>Tabela1[[#This Row],[Estoque total]]-Tabela1[[#This Row],[Consumo]]</f>
        <v>20</v>
      </c>
      <c r="L39" s="7">
        <f>(Tabela1[[#This Row],[Valor total]]/Tabela1[[#This Row],[Estoque total]])*Tabela1[[#This Row],[Consumo]]</f>
        <v>0</v>
      </c>
    </row>
    <row r="40" spans="1:12" x14ac:dyDescent="0.25">
      <c r="A40" t="s">
        <v>78</v>
      </c>
      <c r="B40" t="s">
        <v>79</v>
      </c>
      <c r="C40" t="s">
        <v>2</v>
      </c>
      <c r="D40" t="s">
        <v>3</v>
      </c>
      <c r="E40" t="s">
        <v>4</v>
      </c>
      <c r="F40" t="s">
        <v>5</v>
      </c>
      <c r="G40" s="2">
        <v>12</v>
      </c>
      <c r="H40" t="s">
        <v>6</v>
      </c>
      <c r="I40" s="6">
        <v>122.45</v>
      </c>
      <c r="J40">
        <v>2</v>
      </c>
      <c r="K40" s="4">
        <f>Tabela1[[#This Row],[Estoque total]]-Tabela1[[#This Row],[Consumo]]</f>
        <v>10</v>
      </c>
      <c r="L40" s="7">
        <f>(Tabela1[[#This Row],[Valor total]]/Tabela1[[#This Row],[Estoque total]])*Tabela1[[#This Row],[Consumo]]</f>
        <v>20.408333333333335</v>
      </c>
    </row>
    <row r="41" spans="1:12" x14ac:dyDescent="0.25">
      <c r="A41" t="s">
        <v>80</v>
      </c>
      <c r="B41" t="s">
        <v>81</v>
      </c>
      <c r="C41" t="s">
        <v>2</v>
      </c>
      <c r="D41" t="s">
        <v>3</v>
      </c>
      <c r="E41" t="s">
        <v>4</v>
      </c>
      <c r="F41" t="s">
        <v>5</v>
      </c>
      <c r="G41" s="2">
        <v>3</v>
      </c>
      <c r="H41" t="s">
        <v>6</v>
      </c>
      <c r="I41" s="6">
        <v>78.45</v>
      </c>
      <c r="K41" s="4">
        <f>Tabela1[[#This Row],[Estoque total]]-Tabela1[[#This Row],[Consumo]]</f>
        <v>3</v>
      </c>
      <c r="L41" s="7">
        <f>(Tabela1[[#This Row],[Valor total]]/Tabela1[[#This Row],[Estoque total]])*Tabela1[[#This Row],[Consumo]]</f>
        <v>0</v>
      </c>
    </row>
    <row r="42" spans="1:12" x14ac:dyDescent="0.25">
      <c r="A42" t="s">
        <v>82</v>
      </c>
      <c r="B42" t="s">
        <v>83</v>
      </c>
      <c r="C42" t="s">
        <v>2</v>
      </c>
      <c r="D42" t="s">
        <v>3</v>
      </c>
      <c r="E42" t="s">
        <v>4</v>
      </c>
      <c r="F42" t="s">
        <v>5</v>
      </c>
      <c r="G42" s="2">
        <v>11</v>
      </c>
      <c r="H42" t="s">
        <v>6</v>
      </c>
      <c r="I42" s="6">
        <v>287.64999999999998</v>
      </c>
      <c r="K42" s="4">
        <f>Tabela1[[#This Row],[Estoque total]]-Tabela1[[#This Row],[Consumo]]</f>
        <v>11</v>
      </c>
      <c r="L42" s="7">
        <f>(Tabela1[[#This Row],[Valor total]]/Tabela1[[#This Row],[Estoque total]])*Tabela1[[#This Row],[Consumo]]</f>
        <v>0</v>
      </c>
    </row>
    <row r="43" spans="1:12" x14ac:dyDescent="0.25">
      <c r="A43" t="s">
        <v>84</v>
      </c>
      <c r="B43" t="s">
        <v>85</v>
      </c>
      <c r="C43" t="s">
        <v>2</v>
      </c>
      <c r="D43" t="s">
        <v>3</v>
      </c>
      <c r="E43" t="s">
        <v>4</v>
      </c>
      <c r="F43" t="s">
        <v>5</v>
      </c>
      <c r="G43" s="2">
        <v>2</v>
      </c>
      <c r="H43" t="s">
        <v>6</v>
      </c>
      <c r="I43" s="6">
        <v>61.72</v>
      </c>
      <c r="K43" s="4">
        <f>Tabela1[[#This Row],[Estoque total]]-Tabela1[[#This Row],[Consumo]]</f>
        <v>2</v>
      </c>
      <c r="L43" s="7">
        <f>(Tabela1[[#This Row],[Valor total]]/Tabela1[[#This Row],[Estoque total]])*Tabela1[[#This Row],[Consumo]]</f>
        <v>0</v>
      </c>
    </row>
    <row r="44" spans="1:12" x14ac:dyDescent="0.25">
      <c r="A44" t="s">
        <v>86</v>
      </c>
      <c r="B44" t="s">
        <v>87</v>
      </c>
      <c r="C44" t="s">
        <v>2</v>
      </c>
      <c r="D44" t="s">
        <v>3</v>
      </c>
      <c r="E44" t="s">
        <v>4</v>
      </c>
      <c r="F44" t="s">
        <v>5</v>
      </c>
      <c r="G44" s="2">
        <v>2</v>
      </c>
      <c r="H44" t="s">
        <v>6</v>
      </c>
      <c r="I44" s="6">
        <v>61.72</v>
      </c>
      <c r="K44" s="4">
        <f>Tabela1[[#This Row],[Estoque total]]-Tabela1[[#This Row],[Consumo]]</f>
        <v>2</v>
      </c>
      <c r="L44" s="7">
        <f>(Tabela1[[#This Row],[Valor total]]/Tabela1[[#This Row],[Estoque total]])*Tabela1[[#This Row],[Consumo]]</f>
        <v>0</v>
      </c>
    </row>
    <row r="45" spans="1:12" x14ac:dyDescent="0.25">
      <c r="A45" t="s">
        <v>88</v>
      </c>
      <c r="B45" t="s">
        <v>89</v>
      </c>
      <c r="C45" t="s">
        <v>2</v>
      </c>
      <c r="D45" t="s">
        <v>3</v>
      </c>
      <c r="E45" t="s">
        <v>4</v>
      </c>
      <c r="F45" t="s">
        <v>5</v>
      </c>
      <c r="G45" s="2">
        <v>3</v>
      </c>
      <c r="H45" t="s">
        <v>6</v>
      </c>
      <c r="I45" s="6">
        <v>570.6</v>
      </c>
      <c r="K45" s="4">
        <f>Tabela1[[#This Row],[Estoque total]]-Tabela1[[#This Row],[Consumo]]</f>
        <v>3</v>
      </c>
      <c r="L45" s="7">
        <f>(Tabela1[[#This Row],[Valor total]]/Tabela1[[#This Row],[Estoque total]])*Tabela1[[#This Row],[Consumo]]</f>
        <v>0</v>
      </c>
    </row>
    <row r="46" spans="1:12" x14ac:dyDescent="0.25">
      <c r="A46" t="s">
        <v>90</v>
      </c>
      <c r="B46" t="s">
        <v>91</v>
      </c>
      <c r="C46" t="s">
        <v>2</v>
      </c>
      <c r="D46" t="s">
        <v>3</v>
      </c>
      <c r="E46" t="s">
        <v>4</v>
      </c>
      <c r="F46" t="s">
        <v>5</v>
      </c>
      <c r="G46" s="2">
        <v>1</v>
      </c>
      <c r="H46" t="s">
        <v>6</v>
      </c>
      <c r="I46" s="6">
        <v>214.89</v>
      </c>
      <c r="K46" s="4">
        <f>Tabela1[[#This Row],[Estoque total]]-Tabela1[[#This Row],[Consumo]]</f>
        <v>1</v>
      </c>
      <c r="L46" s="7">
        <f>(Tabela1[[#This Row],[Valor total]]/Tabela1[[#This Row],[Estoque total]])*Tabela1[[#This Row],[Consumo]]</f>
        <v>0</v>
      </c>
    </row>
    <row r="47" spans="1:12" x14ac:dyDescent="0.25">
      <c r="A47" t="s">
        <v>92</v>
      </c>
      <c r="B47" t="s">
        <v>93</v>
      </c>
      <c r="C47" t="s">
        <v>2</v>
      </c>
      <c r="D47" t="s">
        <v>3</v>
      </c>
      <c r="E47" t="s">
        <v>4</v>
      </c>
      <c r="F47" t="s">
        <v>5</v>
      </c>
      <c r="G47" s="2">
        <v>37</v>
      </c>
      <c r="H47" t="s">
        <v>6</v>
      </c>
      <c r="I47" s="6">
        <v>7576.86</v>
      </c>
      <c r="J47">
        <v>2</v>
      </c>
      <c r="K47" s="4">
        <f>Tabela1[[#This Row],[Estoque total]]-Tabela1[[#This Row],[Consumo]]</f>
        <v>35</v>
      </c>
      <c r="L47" s="7">
        <f>(Tabela1[[#This Row],[Valor total]]/Tabela1[[#This Row],[Estoque total]])*Tabela1[[#This Row],[Consumo]]</f>
        <v>409.56</v>
      </c>
    </row>
    <row r="48" spans="1:12" x14ac:dyDescent="0.25">
      <c r="A48" t="s">
        <v>94</v>
      </c>
      <c r="B48" t="s">
        <v>95</v>
      </c>
      <c r="C48" t="s">
        <v>2</v>
      </c>
      <c r="D48" t="s">
        <v>3</v>
      </c>
      <c r="E48" t="s">
        <v>4</v>
      </c>
      <c r="F48" t="s">
        <v>5</v>
      </c>
      <c r="G48" s="2">
        <v>1</v>
      </c>
      <c r="H48" t="s">
        <v>6</v>
      </c>
      <c r="I48" s="6">
        <v>232.18</v>
      </c>
      <c r="J48">
        <v>1</v>
      </c>
      <c r="K48" s="4">
        <f>Tabela1[[#This Row],[Estoque total]]-Tabela1[[#This Row],[Consumo]]</f>
        <v>0</v>
      </c>
      <c r="L48" s="7">
        <f>(Tabela1[[#This Row],[Valor total]]/Tabela1[[#This Row],[Estoque total]])*Tabela1[[#This Row],[Consumo]]</f>
        <v>232.18</v>
      </c>
    </row>
    <row r="49" spans="1:12" x14ac:dyDescent="0.25">
      <c r="A49" t="s">
        <v>96</v>
      </c>
      <c r="B49" t="s">
        <v>97</v>
      </c>
      <c r="C49" t="s">
        <v>2</v>
      </c>
      <c r="D49" t="s">
        <v>3</v>
      </c>
      <c r="E49" t="s">
        <v>4</v>
      </c>
      <c r="F49" t="s">
        <v>5</v>
      </c>
      <c r="G49" s="2">
        <v>2</v>
      </c>
      <c r="H49" t="s">
        <v>6</v>
      </c>
      <c r="I49" s="6">
        <v>10.4</v>
      </c>
      <c r="K49" s="4">
        <f>Tabela1[[#This Row],[Estoque total]]-Tabela1[[#This Row],[Consumo]]</f>
        <v>2</v>
      </c>
      <c r="L49" s="7">
        <f>(Tabela1[[#This Row],[Valor total]]/Tabela1[[#This Row],[Estoque total]])*Tabela1[[#This Row],[Consumo]]</f>
        <v>0</v>
      </c>
    </row>
    <row r="50" spans="1:12" x14ac:dyDescent="0.25">
      <c r="A50" t="s">
        <v>98</v>
      </c>
      <c r="B50" t="s">
        <v>99</v>
      </c>
      <c r="C50" t="s">
        <v>2</v>
      </c>
      <c r="D50" t="s">
        <v>3</v>
      </c>
      <c r="E50" t="s">
        <v>4</v>
      </c>
      <c r="F50" t="s">
        <v>5</v>
      </c>
      <c r="G50" s="2">
        <v>10</v>
      </c>
      <c r="H50" t="s">
        <v>6</v>
      </c>
      <c r="I50" s="6">
        <v>63.3</v>
      </c>
      <c r="K50" s="4">
        <f>Tabela1[[#This Row],[Estoque total]]-Tabela1[[#This Row],[Consumo]]</f>
        <v>10</v>
      </c>
      <c r="L50" s="7">
        <f>(Tabela1[[#This Row],[Valor total]]/Tabela1[[#This Row],[Estoque total]])*Tabela1[[#This Row],[Consumo]]</f>
        <v>0</v>
      </c>
    </row>
    <row r="51" spans="1:12" x14ac:dyDescent="0.25">
      <c r="A51" t="s">
        <v>100</v>
      </c>
      <c r="B51" t="s">
        <v>101</v>
      </c>
      <c r="C51" t="s">
        <v>2</v>
      </c>
      <c r="D51" t="s">
        <v>3</v>
      </c>
      <c r="E51" t="s">
        <v>4</v>
      </c>
      <c r="F51" t="s">
        <v>5</v>
      </c>
      <c r="G51" s="2">
        <v>2</v>
      </c>
      <c r="H51" t="s">
        <v>6</v>
      </c>
      <c r="I51" s="6">
        <v>11.64</v>
      </c>
      <c r="K51" s="4">
        <f>Tabela1[[#This Row],[Estoque total]]-Tabela1[[#This Row],[Consumo]]</f>
        <v>2</v>
      </c>
      <c r="L51" s="7">
        <f>(Tabela1[[#This Row],[Valor total]]/Tabela1[[#This Row],[Estoque total]])*Tabela1[[#This Row],[Consumo]]</f>
        <v>0</v>
      </c>
    </row>
    <row r="52" spans="1:12" x14ac:dyDescent="0.25">
      <c r="A52" t="s">
        <v>102</v>
      </c>
      <c r="B52" t="s">
        <v>103</v>
      </c>
      <c r="C52" t="s">
        <v>2</v>
      </c>
      <c r="D52" t="s">
        <v>3</v>
      </c>
      <c r="E52" t="s">
        <v>4</v>
      </c>
      <c r="F52" t="s">
        <v>5</v>
      </c>
      <c r="G52" s="2">
        <v>2</v>
      </c>
      <c r="H52" t="s">
        <v>6</v>
      </c>
      <c r="I52" s="6">
        <v>10.4</v>
      </c>
      <c r="K52" s="4">
        <f>Tabela1[[#This Row],[Estoque total]]-Tabela1[[#This Row],[Consumo]]</f>
        <v>2</v>
      </c>
      <c r="L52" s="7">
        <f>(Tabela1[[#This Row],[Valor total]]/Tabela1[[#This Row],[Estoque total]])*Tabela1[[#This Row],[Consumo]]</f>
        <v>0</v>
      </c>
    </row>
    <row r="53" spans="1:12" x14ac:dyDescent="0.25">
      <c r="A53" t="s">
        <v>104</v>
      </c>
      <c r="B53" t="s">
        <v>105</v>
      </c>
      <c r="C53" t="s">
        <v>2</v>
      </c>
      <c r="D53" t="s">
        <v>3</v>
      </c>
      <c r="E53" t="s">
        <v>4</v>
      </c>
      <c r="F53" t="s">
        <v>5</v>
      </c>
      <c r="G53" s="2">
        <v>12</v>
      </c>
      <c r="H53" t="s">
        <v>6</v>
      </c>
      <c r="I53" s="6">
        <v>9.7200000000000006</v>
      </c>
      <c r="K53" s="4">
        <f>Tabela1[[#This Row],[Estoque total]]-Tabela1[[#This Row],[Consumo]]</f>
        <v>12</v>
      </c>
      <c r="L53" s="7">
        <f>(Tabela1[[#This Row],[Valor total]]/Tabela1[[#This Row],[Estoque total]])*Tabela1[[#This Row],[Consumo]]</f>
        <v>0</v>
      </c>
    </row>
    <row r="54" spans="1:12" x14ac:dyDescent="0.25">
      <c r="A54" t="s">
        <v>106</v>
      </c>
      <c r="B54" t="s">
        <v>107</v>
      </c>
      <c r="C54" t="s">
        <v>2</v>
      </c>
      <c r="D54" t="s">
        <v>3</v>
      </c>
      <c r="E54" t="s">
        <v>4</v>
      </c>
      <c r="F54" t="s">
        <v>5</v>
      </c>
      <c r="G54" s="2">
        <v>99</v>
      </c>
      <c r="H54" t="s">
        <v>6</v>
      </c>
      <c r="I54" s="6">
        <v>111.35</v>
      </c>
      <c r="K54" s="4">
        <f>Tabela1[[#This Row],[Estoque total]]-Tabela1[[#This Row],[Consumo]]</f>
        <v>99</v>
      </c>
      <c r="L54" s="7">
        <f>(Tabela1[[#This Row],[Valor total]]/Tabela1[[#This Row],[Estoque total]])*Tabela1[[#This Row],[Consumo]]</f>
        <v>0</v>
      </c>
    </row>
    <row r="55" spans="1:12" x14ac:dyDescent="0.25">
      <c r="A55" t="s">
        <v>108</v>
      </c>
      <c r="B55" t="s">
        <v>109</v>
      </c>
      <c r="C55" t="s">
        <v>2</v>
      </c>
      <c r="D55" t="s">
        <v>3</v>
      </c>
      <c r="E55" t="s">
        <v>4</v>
      </c>
      <c r="F55" t="s">
        <v>5</v>
      </c>
      <c r="G55" s="2">
        <v>80</v>
      </c>
      <c r="H55" t="s">
        <v>6</v>
      </c>
      <c r="I55" s="6">
        <v>84.8</v>
      </c>
      <c r="K55" s="4">
        <f>Tabela1[[#This Row],[Estoque total]]-Tabela1[[#This Row],[Consumo]]</f>
        <v>80</v>
      </c>
      <c r="L55" s="7">
        <f>(Tabela1[[#This Row],[Valor total]]/Tabela1[[#This Row],[Estoque total]])*Tabela1[[#This Row],[Consumo]]</f>
        <v>0</v>
      </c>
    </row>
    <row r="56" spans="1:12" x14ac:dyDescent="0.25">
      <c r="A56" t="s">
        <v>110</v>
      </c>
      <c r="B56" t="s">
        <v>111</v>
      </c>
      <c r="C56" t="s">
        <v>2</v>
      </c>
      <c r="D56" t="s">
        <v>3</v>
      </c>
      <c r="E56" t="s">
        <v>4</v>
      </c>
      <c r="F56" t="s">
        <v>5</v>
      </c>
      <c r="G56" s="2">
        <v>40</v>
      </c>
      <c r="H56" t="s">
        <v>6</v>
      </c>
      <c r="I56" s="6">
        <v>26</v>
      </c>
      <c r="K56" s="4">
        <f>Tabela1[[#This Row],[Estoque total]]-Tabela1[[#This Row],[Consumo]]</f>
        <v>40</v>
      </c>
      <c r="L56" s="7">
        <f>(Tabela1[[#This Row],[Valor total]]/Tabela1[[#This Row],[Estoque total]])*Tabela1[[#This Row],[Consumo]]</f>
        <v>0</v>
      </c>
    </row>
    <row r="57" spans="1:12" x14ac:dyDescent="0.25">
      <c r="A57" t="s">
        <v>112</v>
      </c>
      <c r="B57" t="s">
        <v>113</v>
      </c>
      <c r="C57" t="s">
        <v>2</v>
      </c>
      <c r="D57" t="s">
        <v>3</v>
      </c>
      <c r="E57" t="s">
        <v>4</v>
      </c>
      <c r="F57" t="s">
        <v>5</v>
      </c>
      <c r="G57" s="2">
        <v>40</v>
      </c>
      <c r="H57" t="s">
        <v>6</v>
      </c>
      <c r="I57" s="6">
        <v>42.4</v>
      </c>
      <c r="K57" s="4">
        <f>Tabela1[[#This Row],[Estoque total]]-Tabela1[[#This Row],[Consumo]]</f>
        <v>40</v>
      </c>
      <c r="L57" s="7">
        <f>(Tabela1[[#This Row],[Valor total]]/Tabela1[[#This Row],[Estoque total]])*Tabela1[[#This Row],[Consumo]]</f>
        <v>0</v>
      </c>
    </row>
    <row r="58" spans="1:12" x14ac:dyDescent="0.25">
      <c r="A58" t="s">
        <v>114</v>
      </c>
      <c r="B58" t="s">
        <v>115</v>
      </c>
      <c r="C58" t="s">
        <v>2</v>
      </c>
      <c r="D58" t="s">
        <v>3</v>
      </c>
      <c r="E58" t="s">
        <v>4</v>
      </c>
      <c r="F58" t="s">
        <v>5</v>
      </c>
      <c r="G58" s="2">
        <v>130</v>
      </c>
      <c r="H58" t="s">
        <v>6</v>
      </c>
      <c r="I58" s="6">
        <v>135.19999999999999</v>
      </c>
      <c r="K58" s="4">
        <f>Tabela1[[#This Row],[Estoque total]]-Tabela1[[#This Row],[Consumo]]</f>
        <v>130</v>
      </c>
      <c r="L58" s="7">
        <f>(Tabela1[[#This Row],[Valor total]]/Tabela1[[#This Row],[Estoque total]])*Tabela1[[#This Row],[Consumo]]</f>
        <v>0</v>
      </c>
    </row>
    <row r="59" spans="1:12" x14ac:dyDescent="0.25">
      <c r="A59" t="s">
        <v>116</v>
      </c>
      <c r="B59" t="s">
        <v>117</v>
      </c>
      <c r="C59" t="s">
        <v>2</v>
      </c>
      <c r="D59" t="s">
        <v>3</v>
      </c>
      <c r="E59" t="s">
        <v>4</v>
      </c>
      <c r="F59" t="s">
        <v>5</v>
      </c>
      <c r="G59" s="2">
        <v>47</v>
      </c>
      <c r="H59" t="s">
        <v>6</v>
      </c>
      <c r="I59" s="6">
        <v>51.35</v>
      </c>
      <c r="K59" s="4">
        <f>Tabela1[[#This Row],[Estoque total]]-Tabela1[[#This Row],[Consumo]]</f>
        <v>47</v>
      </c>
      <c r="L59" s="7">
        <f>(Tabela1[[#This Row],[Valor total]]/Tabela1[[#This Row],[Estoque total]])*Tabela1[[#This Row],[Consumo]]</f>
        <v>0</v>
      </c>
    </row>
    <row r="60" spans="1:12" x14ac:dyDescent="0.25">
      <c r="A60" t="s">
        <v>118</v>
      </c>
      <c r="B60" t="s">
        <v>119</v>
      </c>
      <c r="C60" t="s">
        <v>2</v>
      </c>
      <c r="D60" t="s">
        <v>3</v>
      </c>
      <c r="E60" t="s">
        <v>4</v>
      </c>
      <c r="F60" t="s">
        <v>5</v>
      </c>
      <c r="G60" s="2">
        <v>64</v>
      </c>
      <c r="H60" t="s">
        <v>6</v>
      </c>
      <c r="I60" s="6">
        <v>72.959999999999994</v>
      </c>
      <c r="K60" s="4">
        <f>Tabela1[[#This Row],[Estoque total]]-Tabela1[[#This Row],[Consumo]]</f>
        <v>64</v>
      </c>
      <c r="L60" s="7">
        <f>(Tabela1[[#This Row],[Valor total]]/Tabela1[[#This Row],[Estoque total]])*Tabela1[[#This Row],[Consumo]]</f>
        <v>0</v>
      </c>
    </row>
    <row r="61" spans="1:12" x14ac:dyDescent="0.25">
      <c r="A61" t="s">
        <v>120</v>
      </c>
      <c r="B61" t="s">
        <v>121</v>
      </c>
      <c r="C61" t="s">
        <v>2</v>
      </c>
      <c r="D61" t="s">
        <v>3</v>
      </c>
      <c r="E61" t="s">
        <v>4</v>
      </c>
      <c r="F61" t="s">
        <v>5</v>
      </c>
      <c r="G61" s="2">
        <v>234</v>
      </c>
      <c r="H61" t="s">
        <v>6</v>
      </c>
      <c r="I61" s="6">
        <v>175.5</v>
      </c>
      <c r="K61" s="4">
        <f>Tabela1[[#This Row],[Estoque total]]-Tabela1[[#This Row],[Consumo]]</f>
        <v>234</v>
      </c>
      <c r="L61" s="7">
        <f>(Tabela1[[#This Row],[Valor total]]/Tabela1[[#This Row],[Estoque total]])*Tabela1[[#This Row],[Consumo]]</f>
        <v>0</v>
      </c>
    </row>
    <row r="62" spans="1:12" x14ac:dyDescent="0.25">
      <c r="A62" t="s">
        <v>122</v>
      </c>
      <c r="B62" t="s">
        <v>123</v>
      </c>
      <c r="C62" t="s">
        <v>2</v>
      </c>
      <c r="D62" t="s">
        <v>3</v>
      </c>
      <c r="E62" t="s">
        <v>4</v>
      </c>
      <c r="F62" t="s">
        <v>5</v>
      </c>
      <c r="G62" s="2">
        <v>176</v>
      </c>
      <c r="H62" t="s">
        <v>6</v>
      </c>
      <c r="I62" s="6">
        <v>230.56</v>
      </c>
      <c r="K62" s="4">
        <f>Tabela1[[#This Row],[Estoque total]]-Tabela1[[#This Row],[Consumo]]</f>
        <v>176</v>
      </c>
      <c r="L62" s="7">
        <f>(Tabela1[[#This Row],[Valor total]]/Tabela1[[#This Row],[Estoque total]])*Tabela1[[#This Row],[Consumo]]</f>
        <v>0</v>
      </c>
    </row>
    <row r="63" spans="1:12" x14ac:dyDescent="0.25">
      <c r="A63" t="s">
        <v>124</v>
      </c>
      <c r="B63" t="s">
        <v>125</v>
      </c>
      <c r="C63" t="s">
        <v>2</v>
      </c>
      <c r="D63" t="s">
        <v>3</v>
      </c>
      <c r="E63" t="s">
        <v>4</v>
      </c>
      <c r="F63" t="s">
        <v>5</v>
      </c>
      <c r="G63" s="2">
        <v>476</v>
      </c>
      <c r="H63" t="s">
        <v>6</v>
      </c>
      <c r="I63" s="6">
        <v>385.77</v>
      </c>
      <c r="K63" s="4">
        <f>Tabela1[[#This Row],[Estoque total]]-Tabela1[[#This Row],[Consumo]]</f>
        <v>476</v>
      </c>
      <c r="L63" s="7">
        <f>(Tabela1[[#This Row],[Valor total]]/Tabela1[[#This Row],[Estoque total]])*Tabela1[[#This Row],[Consumo]]</f>
        <v>0</v>
      </c>
    </row>
    <row r="64" spans="1:12" x14ac:dyDescent="0.25">
      <c r="A64" t="s">
        <v>126</v>
      </c>
      <c r="B64" t="s">
        <v>127</v>
      </c>
      <c r="C64" t="s">
        <v>2</v>
      </c>
      <c r="D64" t="s">
        <v>3</v>
      </c>
      <c r="E64" t="s">
        <v>4</v>
      </c>
      <c r="F64" t="s">
        <v>5</v>
      </c>
      <c r="G64" s="2">
        <v>727</v>
      </c>
      <c r="H64" t="s">
        <v>6</v>
      </c>
      <c r="I64" s="6">
        <v>1114.18</v>
      </c>
      <c r="K64" s="4">
        <f>Tabela1[[#This Row],[Estoque total]]-Tabela1[[#This Row],[Consumo]]</f>
        <v>727</v>
      </c>
      <c r="L64" s="7">
        <f>(Tabela1[[#This Row],[Valor total]]/Tabela1[[#This Row],[Estoque total]])*Tabela1[[#This Row],[Consumo]]</f>
        <v>0</v>
      </c>
    </row>
    <row r="65" spans="1:12" x14ac:dyDescent="0.25">
      <c r="A65" t="s">
        <v>128</v>
      </c>
      <c r="B65" t="s">
        <v>129</v>
      </c>
      <c r="C65" t="s">
        <v>2</v>
      </c>
      <c r="D65" t="s">
        <v>3</v>
      </c>
      <c r="E65" t="s">
        <v>4</v>
      </c>
      <c r="F65" t="s">
        <v>5</v>
      </c>
      <c r="G65" s="2">
        <v>38</v>
      </c>
      <c r="H65" t="s">
        <v>6</v>
      </c>
      <c r="I65" s="6">
        <v>40.659999999999997</v>
      </c>
      <c r="K65" s="4">
        <f>Tabela1[[#This Row],[Estoque total]]-Tabela1[[#This Row],[Consumo]]</f>
        <v>38</v>
      </c>
      <c r="L65" s="7">
        <f>(Tabela1[[#This Row],[Valor total]]/Tabela1[[#This Row],[Estoque total]])*Tabela1[[#This Row],[Consumo]]</f>
        <v>0</v>
      </c>
    </row>
    <row r="66" spans="1:12" x14ac:dyDescent="0.25">
      <c r="A66" t="s">
        <v>130</v>
      </c>
      <c r="B66" t="s">
        <v>131</v>
      </c>
      <c r="C66" t="s">
        <v>2</v>
      </c>
      <c r="D66" t="s">
        <v>3</v>
      </c>
      <c r="E66" t="s">
        <v>4</v>
      </c>
      <c r="F66" t="s">
        <v>5</v>
      </c>
      <c r="G66" s="2">
        <v>72</v>
      </c>
      <c r="H66" t="s">
        <v>6</v>
      </c>
      <c r="I66" s="6">
        <v>82.8</v>
      </c>
      <c r="K66" s="4">
        <f>Tabela1[[#This Row],[Estoque total]]-Tabela1[[#This Row],[Consumo]]</f>
        <v>72</v>
      </c>
      <c r="L66" s="7">
        <f>(Tabela1[[#This Row],[Valor total]]/Tabela1[[#This Row],[Estoque total]])*Tabela1[[#This Row],[Consumo]]</f>
        <v>0</v>
      </c>
    </row>
    <row r="67" spans="1:12" x14ac:dyDescent="0.25">
      <c r="A67" t="s">
        <v>132</v>
      </c>
      <c r="B67" t="s">
        <v>133</v>
      </c>
      <c r="C67" t="s">
        <v>2</v>
      </c>
      <c r="D67" t="s">
        <v>3</v>
      </c>
      <c r="E67" t="s">
        <v>4</v>
      </c>
      <c r="F67" t="s">
        <v>5</v>
      </c>
      <c r="G67" s="2">
        <v>39</v>
      </c>
      <c r="H67" t="s">
        <v>6</v>
      </c>
      <c r="I67" s="6">
        <v>46.8</v>
      </c>
      <c r="K67" s="4">
        <f>Tabela1[[#This Row],[Estoque total]]-Tabela1[[#This Row],[Consumo]]</f>
        <v>39</v>
      </c>
      <c r="L67" s="7">
        <f>(Tabela1[[#This Row],[Valor total]]/Tabela1[[#This Row],[Estoque total]])*Tabela1[[#This Row],[Consumo]]</f>
        <v>0</v>
      </c>
    </row>
    <row r="68" spans="1:12" x14ac:dyDescent="0.25">
      <c r="A68" t="s">
        <v>134</v>
      </c>
      <c r="B68" t="s">
        <v>135</v>
      </c>
      <c r="C68" t="s">
        <v>2</v>
      </c>
      <c r="D68" t="s">
        <v>3</v>
      </c>
      <c r="E68" t="s">
        <v>4</v>
      </c>
      <c r="F68" t="s">
        <v>5</v>
      </c>
      <c r="G68" s="2">
        <v>86</v>
      </c>
      <c r="H68" t="s">
        <v>6</v>
      </c>
      <c r="I68" s="6">
        <v>108.36</v>
      </c>
      <c r="K68" s="4">
        <f>Tabela1[[#This Row],[Estoque total]]-Tabela1[[#This Row],[Consumo]]</f>
        <v>86</v>
      </c>
      <c r="L68" s="7">
        <f>(Tabela1[[#This Row],[Valor total]]/Tabela1[[#This Row],[Estoque total]])*Tabela1[[#This Row],[Consumo]]</f>
        <v>0</v>
      </c>
    </row>
    <row r="69" spans="1:12" x14ac:dyDescent="0.25">
      <c r="A69" t="s">
        <v>136</v>
      </c>
      <c r="B69" t="s">
        <v>137</v>
      </c>
      <c r="C69" t="s">
        <v>2</v>
      </c>
      <c r="D69" t="s">
        <v>3</v>
      </c>
      <c r="E69" t="s">
        <v>4</v>
      </c>
      <c r="F69" t="s">
        <v>5</v>
      </c>
      <c r="G69" s="2">
        <v>276</v>
      </c>
      <c r="H69" t="s">
        <v>6</v>
      </c>
      <c r="I69" s="6">
        <v>329.67</v>
      </c>
      <c r="K69" s="4">
        <f>Tabela1[[#This Row],[Estoque total]]-Tabela1[[#This Row],[Consumo]]</f>
        <v>276</v>
      </c>
      <c r="L69" s="7">
        <f>(Tabela1[[#This Row],[Valor total]]/Tabela1[[#This Row],[Estoque total]])*Tabela1[[#This Row],[Consumo]]</f>
        <v>0</v>
      </c>
    </row>
    <row r="70" spans="1:12" x14ac:dyDescent="0.25">
      <c r="A70" t="s">
        <v>138</v>
      </c>
      <c r="B70" t="s">
        <v>139</v>
      </c>
      <c r="C70" t="s">
        <v>2</v>
      </c>
      <c r="D70" t="s">
        <v>3</v>
      </c>
      <c r="E70" t="s">
        <v>4</v>
      </c>
      <c r="F70" t="s">
        <v>5</v>
      </c>
      <c r="G70" s="2">
        <v>132</v>
      </c>
      <c r="H70" t="s">
        <v>6</v>
      </c>
      <c r="I70" s="6">
        <v>338.03</v>
      </c>
      <c r="K70" s="4">
        <f>Tabela1[[#This Row],[Estoque total]]-Tabela1[[#This Row],[Consumo]]</f>
        <v>132</v>
      </c>
      <c r="L70" s="7">
        <f>(Tabela1[[#This Row],[Valor total]]/Tabela1[[#This Row],[Estoque total]])*Tabela1[[#This Row],[Consumo]]</f>
        <v>0</v>
      </c>
    </row>
    <row r="71" spans="1:12" x14ac:dyDescent="0.25">
      <c r="A71" t="s">
        <v>140</v>
      </c>
      <c r="B71" t="s">
        <v>141</v>
      </c>
      <c r="C71" t="s">
        <v>2</v>
      </c>
      <c r="D71" t="s">
        <v>3</v>
      </c>
      <c r="E71" t="s">
        <v>4</v>
      </c>
      <c r="F71" t="s">
        <v>5</v>
      </c>
      <c r="G71" s="2">
        <v>21</v>
      </c>
      <c r="H71" t="s">
        <v>6</v>
      </c>
      <c r="I71" s="6">
        <v>28.56</v>
      </c>
      <c r="K71" s="4">
        <f>Tabela1[[#This Row],[Estoque total]]-Tabela1[[#This Row],[Consumo]]</f>
        <v>21</v>
      </c>
      <c r="L71" s="7">
        <f>(Tabela1[[#This Row],[Valor total]]/Tabela1[[#This Row],[Estoque total]])*Tabela1[[#This Row],[Consumo]]</f>
        <v>0</v>
      </c>
    </row>
    <row r="72" spans="1:12" x14ac:dyDescent="0.25">
      <c r="A72" t="s">
        <v>142</v>
      </c>
      <c r="B72" t="s">
        <v>143</v>
      </c>
      <c r="C72" t="s">
        <v>2</v>
      </c>
      <c r="D72" t="s">
        <v>3</v>
      </c>
      <c r="E72" t="s">
        <v>4</v>
      </c>
      <c r="F72" t="s">
        <v>5</v>
      </c>
      <c r="G72" s="2">
        <v>62</v>
      </c>
      <c r="H72" t="s">
        <v>6</v>
      </c>
      <c r="I72" s="6">
        <v>121.54</v>
      </c>
      <c r="K72" s="4">
        <f>Tabela1[[#This Row],[Estoque total]]-Tabela1[[#This Row],[Consumo]]</f>
        <v>62</v>
      </c>
      <c r="L72" s="7">
        <f>(Tabela1[[#This Row],[Valor total]]/Tabela1[[#This Row],[Estoque total]])*Tabela1[[#This Row],[Consumo]]</f>
        <v>0</v>
      </c>
    </row>
    <row r="73" spans="1:12" x14ac:dyDescent="0.25">
      <c r="A73" t="s">
        <v>144</v>
      </c>
      <c r="B73" t="s">
        <v>145</v>
      </c>
      <c r="C73" t="s">
        <v>2</v>
      </c>
      <c r="D73" t="s">
        <v>3</v>
      </c>
      <c r="E73" t="s">
        <v>4</v>
      </c>
      <c r="F73" t="s">
        <v>5</v>
      </c>
      <c r="G73" s="2">
        <v>60</v>
      </c>
      <c r="H73" t="s">
        <v>6</v>
      </c>
      <c r="I73" s="6">
        <v>228.27</v>
      </c>
      <c r="K73" s="4">
        <f>Tabela1[[#This Row],[Estoque total]]-Tabela1[[#This Row],[Consumo]]</f>
        <v>60</v>
      </c>
      <c r="L73" s="7">
        <f>(Tabela1[[#This Row],[Valor total]]/Tabela1[[#This Row],[Estoque total]])*Tabela1[[#This Row],[Consumo]]</f>
        <v>0</v>
      </c>
    </row>
    <row r="74" spans="1:12" x14ac:dyDescent="0.25">
      <c r="A74" t="s">
        <v>146</v>
      </c>
      <c r="B74" t="s">
        <v>147</v>
      </c>
      <c r="C74" t="s">
        <v>2</v>
      </c>
      <c r="D74" t="s">
        <v>3</v>
      </c>
      <c r="E74" t="s">
        <v>4</v>
      </c>
      <c r="F74" t="s">
        <v>5</v>
      </c>
      <c r="G74" s="2">
        <v>126</v>
      </c>
      <c r="H74" t="s">
        <v>6</v>
      </c>
      <c r="I74" s="6">
        <v>142.38</v>
      </c>
      <c r="K74" s="4">
        <f>Tabela1[[#This Row],[Estoque total]]-Tabela1[[#This Row],[Consumo]]</f>
        <v>126</v>
      </c>
      <c r="L74" s="7">
        <f>(Tabela1[[#This Row],[Valor total]]/Tabela1[[#This Row],[Estoque total]])*Tabela1[[#This Row],[Consumo]]</f>
        <v>0</v>
      </c>
    </row>
    <row r="75" spans="1:12" x14ac:dyDescent="0.25">
      <c r="A75" t="s">
        <v>148</v>
      </c>
      <c r="B75" t="s">
        <v>149</v>
      </c>
      <c r="C75" t="s">
        <v>2</v>
      </c>
      <c r="D75" t="s">
        <v>3</v>
      </c>
      <c r="E75" t="s">
        <v>4</v>
      </c>
      <c r="F75" t="s">
        <v>5</v>
      </c>
      <c r="G75" s="2">
        <v>102</v>
      </c>
      <c r="H75" t="s">
        <v>6</v>
      </c>
      <c r="I75" s="6">
        <v>742.56</v>
      </c>
      <c r="K75" s="4">
        <f>Tabela1[[#This Row],[Estoque total]]-Tabela1[[#This Row],[Consumo]]</f>
        <v>102</v>
      </c>
      <c r="L75" s="7">
        <f>(Tabela1[[#This Row],[Valor total]]/Tabela1[[#This Row],[Estoque total]])*Tabela1[[#This Row],[Consumo]]</f>
        <v>0</v>
      </c>
    </row>
    <row r="76" spans="1:12" x14ac:dyDescent="0.25">
      <c r="A76" t="s">
        <v>150</v>
      </c>
      <c r="B76" t="s">
        <v>151</v>
      </c>
      <c r="C76" t="s">
        <v>2</v>
      </c>
      <c r="D76" t="s">
        <v>3</v>
      </c>
      <c r="E76" t="s">
        <v>4</v>
      </c>
      <c r="F76" t="s">
        <v>5</v>
      </c>
      <c r="G76" s="2">
        <v>2</v>
      </c>
      <c r="H76" t="s">
        <v>6</v>
      </c>
      <c r="I76" s="6">
        <v>16.7</v>
      </c>
      <c r="K76" s="4">
        <f>Tabela1[[#This Row],[Estoque total]]-Tabela1[[#This Row],[Consumo]]</f>
        <v>2</v>
      </c>
      <c r="L76" s="7">
        <f>(Tabela1[[#This Row],[Valor total]]/Tabela1[[#This Row],[Estoque total]])*Tabela1[[#This Row],[Consumo]]</f>
        <v>0</v>
      </c>
    </row>
    <row r="77" spans="1:12" x14ac:dyDescent="0.25">
      <c r="A77" t="s">
        <v>152</v>
      </c>
      <c r="B77" t="s">
        <v>153</v>
      </c>
      <c r="C77" t="s">
        <v>2</v>
      </c>
      <c r="D77" t="s">
        <v>3</v>
      </c>
      <c r="E77" t="s">
        <v>4</v>
      </c>
      <c r="F77" t="s">
        <v>5</v>
      </c>
      <c r="G77" s="2">
        <v>76</v>
      </c>
      <c r="H77" t="s">
        <v>6</v>
      </c>
      <c r="I77" s="6">
        <v>145.16</v>
      </c>
      <c r="K77" s="4">
        <f>Tabela1[[#This Row],[Estoque total]]-Tabela1[[#This Row],[Consumo]]</f>
        <v>76</v>
      </c>
      <c r="L77" s="7">
        <f>(Tabela1[[#This Row],[Valor total]]/Tabela1[[#This Row],[Estoque total]])*Tabela1[[#This Row],[Consumo]]</f>
        <v>0</v>
      </c>
    </row>
    <row r="78" spans="1:12" x14ac:dyDescent="0.25">
      <c r="A78" t="s">
        <v>154</v>
      </c>
      <c r="B78" t="s">
        <v>155</v>
      </c>
      <c r="C78" t="s">
        <v>2</v>
      </c>
      <c r="D78" t="s">
        <v>3</v>
      </c>
      <c r="E78" t="s">
        <v>4</v>
      </c>
      <c r="F78" t="s">
        <v>5</v>
      </c>
      <c r="G78" s="2">
        <v>234</v>
      </c>
      <c r="H78" t="s">
        <v>6</v>
      </c>
      <c r="I78" s="6">
        <v>168.48</v>
      </c>
      <c r="K78" s="4">
        <f>Tabela1[[#This Row],[Estoque total]]-Tabela1[[#This Row],[Consumo]]</f>
        <v>234</v>
      </c>
      <c r="L78" s="7">
        <f>(Tabela1[[#This Row],[Valor total]]/Tabela1[[#This Row],[Estoque total]])*Tabela1[[#This Row],[Consumo]]</f>
        <v>0</v>
      </c>
    </row>
    <row r="79" spans="1:12" x14ac:dyDescent="0.25">
      <c r="A79" t="s">
        <v>156</v>
      </c>
      <c r="B79" t="s">
        <v>157</v>
      </c>
      <c r="C79" t="s">
        <v>2</v>
      </c>
      <c r="D79" t="s">
        <v>3</v>
      </c>
      <c r="E79" t="s">
        <v>4</v>
      </c>
      <c r="F79" t="s">
        <v>5</v>
      </c>
      <c r="G79" s="2">
        <v>262</v>
      </c>
      <c r="H79" t="s">
        <v>6</v>
      </c>
      <c r="I79" s="6">
        <v>151.96</v>
      </c>
      <c r="K79" s="4">
        <f>Tabela1[[#This Row],[Estoque total]]-Tabela1[[#This Row],[Consumo]]</f>
        <v>262</v>
      </c>
      <c r="L79" s="7">
        <f>(Tabela1[[#This Row],[Valor total]]/Tabela1[[#This Row],[Estoque total]])*Tabela1[[#This Row],[Consumo]]</f>
        <v>0</v>
      </c>
    </row>
    <row r="80" spans="1:12" x14ac:dyDescent="0.25">
      <c r="A80" t="s">
        <v>158</v>
      </c>
      <c r="B80" t="s">
        <v>159</v>
      </c>
      <c r="C80" t="s">
        <v>2</v>
      </c>
      <c r="D80" t="s">
        <v>3</v>
      </c>
      <c r="E80" t="s">
        <v>4</v>
      </c>
      <c r="F80" t="s">
        <v>5</v>
      </c>
      <c r="G80" s="2">
        <v>551</v>
      </c>
      <c r="H80" t="s">
        <v>6</v>
      </c>
      <c r="I80" s="6">
        <v>303.05</v>
      </c>
      <c r="K80" s="4">
        <f>Tabela1[[#This Row],[Estoque total]]-Tabela1[[#This Row],[Consumo]]</f>
        <v>551</v>
      </c>
      <c r="L80" s="7">
        <f>(Tabela1[[#This Row],[Valor total]]/Tabela1[[#This Row],[Estoque total]])*Tabela1[[#This Row],[Consumo]]</f>
        <v>0</v>
      </c>
    </row>
    <row r="81" spans="1:12" x14ac:dyDescent="0.25">
      <c r="A81" t="s">
        <v>160</v>
      </c>
      <c r="B81" t="s">
        <v>161</v>
      </c>
      <c r="C81" t="s">
        <v>2</v>
      </c>
      <c r="D81" t="s">
        <v>3</v>
      </c>
      <c r="E81" t="s">
        <v>4</v>
      </c>
      <c r="F81" t="s">
        <v>5</v>
      </c>
      <c r="G81" s="2">
        <v>285</v>
      </c>
      <c r="H81" t="s">
        <v>6</v>
      </c>
      <c r="I81" s="6">
        <v>195.58</v>
      </c>
      <c r="K81" s="4">
        <f>Tabela1[[#This Row],[Estoque total]]-Tabela1[[#This Row],[Consumo]]</f>
        <v>285</v>
      </c>
      <c r="L81" s="7">
        <f>(Tabela1[[#This Row],[Valor total]]/Tabela1[[#This Row],[Estoque total]])*Tabela1[[#This Row],[Consumo]]</f>
        <v>0</v>
      </c>
    </row>
    <row r="82" spans="1:12" x14ac:dyDescent="0.25">
      <c r="A82" t="s">
        <v>162</v>
      </c>
      <c r="B82" t="s">
        <v>163</v>
      </c>
      <c r="C82" t="s">
        <v>2</v>
      </c>
      <c r="D82" t="s">
        <v>3</v>
      </c>
      <c r="E82" t="s">
        <v>4</v>
      </c>
      <c r="F82" t="s">
        <v>5</v>
      </c>
      <c r="G82" s="2">
        <v>478</v>
      </c>
      <c r="H82" t="s">
        <v>6</v>
      </c>
      <c r="I82" s="6">
        <v>219.88</v>
      </c>
      <c r="K82" s="4">
        <f>Tabela1[[#This Row],[Estoque total]]-Tabela1[[#This Row],[Consumo]]</f>
        <v>478</v>
      </c>
      <c r="L82" s="7">
        <f>(Tabela1[[#This Row],[Valor total]]/Tabela1[[#This Row],[Estoque total]])*Tabela1[[#This Row],[Consumo]]</f>
        <v>0</v>
      </c>
    </row>
    <row r="83" spans="1:12" x14ac:dyDescent="0.25">
      <c r="A83" t="s">
        <v>164</v>
      </c>
      <c r="B83" t="s">
        <v>165</v>
      </c>
      <c r="C83" t="s">
        <v>2</v>
      </c>
      <c r="D83" t="s">
        <v>3</v>
      </c>
      <c r="E83" t="s">
        <v>4</v>
      </c>
      <c r="F83" t="s">
        <v>5</v>
      </c>
      <c r="G83" s="2">
        <v>136</v>
      </c>
      <c r="H83" t="s">
        <v>6</v>
      </c>
      <c r="I83" s="6">
        <v>127.84</v>
      </c>
      <c r="K83" s="4">
        <f>Tabela1[[#This Row],[Estoque total]]-Tabela1[[#This Row],[Consumo]]</f>
        <v>136</v>
      </c>
      <c r="L83" s="7">
        <f>(Tabela1[[#This Row],[Valor total]]/Tabela1[[#This Row],[Estoque total]])*Tabela1[[#This Row],[Consumo]]</f>
        <v>0</v>
      </c>
    </row>
    <row r="84" spans="1:12" x14ac:dyDescent="0.25">
      <c r="A84" t="s">
        <v>166</v>
      </c>
      <c r="B84" t="s">
        <v>167</v>
      </c>
      <c r="C84" t="s">
        <v>2</v>
      </c>
      <c r="D84" t="s">
        <v>3</v>
      </c>
      <c r="E84" t="s">
        <v>4</v>
      </c>
      <c r="F84" t="s">
        <v>5</v>
      </c>
      <c r="G84" s="2">
        <v>10</v>
      </c>
      <c r="H84" t="s">
        <v>6</v>
      </c>
      <c r="I84" s="6">
        <v>10.1</v>
      </c>
      <c r="K84" s="4">
        <f>Tabela1[[#This Row],[Estoque total]]-Tabela1[[#This Row],[Consumo]]</f>
        <v>10</v>
      </c>
      <c r="L84" s="7">
        <f>(Tabela1[[#This Row],[Valor total]]/Tabela1[[#This Row],[Estoque total]])*Tabela1[[#This Row],[Consumo]]</f>
        <v>0</v>
      </c>
    </row>
    <row r="85" spans="1:12" x14ac:dyDescent="0.25">
      <c r="A85" t="s">
        <v>168</v>
      </c>
      <c r="B85" t="s">
        <v>169</v>
      </c>
      <c r="C85" t="s">
        <v>2</v>
      </c>
      <c r="D85" t="s">
        <v>3</v>
      </c>
      <c r="E85" t="s">
        <v>4</v>
      </c>
      <c r="F85" t="s">
        <v>5</v>
      </c>
      <c r="G85" s="2">
        <v>24</v>
      </c>
      <c r="H85" t="s">
        <v>6</v>
      </c>
      <c r="I85" s="6">
        <v>1.44</v>
      </c>
      <c r="K85" s="4">
        <f>Tabela1[[#This Row],[Estoque total]]-Tabela1[[#This Row],[Consumo]]</f>
        <v>24</v>
      </c>
      <c r="L85" s="7">
        <f>(Tabela1[[#This Row],[Valor total]]/Tabela1[[#This Row],[Estoque total]])*Tabela1[[#This Row],[Consumo]]</f>
        <v>0</v>
      </c>
    </row>
    <row r="86" spans="1:12" x14ac:dyDescent="0.25">
      <c r="A86" t="s">
        <v>170</v>
      </c>
      <c r="B86" t="s">
        <v>171</v>
      </c>
      <c r="C86" t="s">
        <v>2</v>
      </c>
      <c r="D86" t="s">
        <v>3</v>
      </c>
      <c r="E86" t="s">
        <v>4</v>
      </c>
      <c r="F86" t="s">
        <v>5</v>
      </c>
      <c r="G86" s="2">
        <v>24</v>
      </c>
      <c r="H86" t="s">
        <v>6</v>
      </c>
      <c r="I86" s="6">
        <v>20.16</v>
      </c>
      <c r="K86" s="4">
        <f>Tabela1[[#This Row],[Estoque total]]-Tabela1[[#This Row],[Consumo]]</f>
        <v>24</v>
      </c>
      <c r="L86" s="7">
        <f>(Tabela1[[#This Row],[Valor total]]/Tabela1[[#This Row],[Estoque total]])*Tabela1[[#This Row],[Consumo]]</f>
        <v>0</v>
      </c>
    </row>
    <row r="87" spans="1:12" x14ac:dyDescent="0.25">
      <c r="A87" t="s">
        <v>172</v>
      </c>
      <c r="B87" t="s">
        <v>173</v>
      </c>
      <c r="C87" t="s">
        <v>2</v>
      </c>
      <c r="D87" t="s">
        <v>3</v>
      </c>
      <c r="E87" t="s">
        <v>4</v>
      </c>
      <c r="F87" t="s">
        <v>5</v>
      </c>
      <c r="G87" s="2">
        <v>238</v>
      </c>
      <c r="H87" t="s">
        <v>6</v>
      </c>
      <c r="I87" s="6">
        <v>121.38</v>
      </c>
      <c r="K87" s="4">
        <f>Tabela1[[#This Row],[Estoque total]]-Tabela1[[#This Row],[Consumo]]</f>
        <v>238</v>
      </c>
      <c r="L87" s="7">
        <f>(Tabela1[[#This Row],[Valor total]]/Tabela1[[#This Row],[Estoque total]])*Tabela1[[#This Row],[Consumo]]</f>
        <v>0</v>
      </c>
    </row>
    <row r="88" spans="1:12" x14ac:dyDescent="0.25">
      <c r="A88" t="s">
        <v>174</v>
      </c>
      <c r="B88" t="s">
        <v>175</v>
      </c>
      <c r="C88" t="s">
        <v>2</v>
      </c>
      <c r="D88" t="s">
        <v>3</v>
      </c>
      <c r="E88" t="s">
        <v>4</v>
      </c>
      <c r="F88" t="s">
        <v>5</v>
      </c>
      <c r="G88" s="2">
        <v>48</v>
      </c>
      <c r="H88" t="s">
        <v>6</v>
      </c>
      <c r="I88" s="6">
        <v>27.84</v>
      </c>
      <c r="K88" s="4">
        <f>Tabela1[[#This Row],[Estoque total]]-Tabela1[[#This Row],[Consumo]]</f>
        <v>48</v>
      </c>
      <c r="L88" s="7">
        <f>(Tabela1[[#This Row],[Valor total]]/Tabela1[[#This Row],[Estoque total]])*Tabela1[[#This Row],[Consumo]]</f>
        <v>0</v>
      </c>
    </row>
    <row r="89" spans="1:12" x14ac:dyDescent="0.25">
      <c r="A89" t="s">
        <v>176</v>
      </c>
      <c r="B89" t="s">
        <v>177</v>
      </c>
      <c r="C89" t="s">
        <v>2</v>
      </c>
      <c r="D89" t="s">
        <v>3</v>
      </c>
      <c r="E89" t="s">
        <v>4</v>
      </c>
      <c r="F89" t="s">
        <v>5</v>
      </c>
      <c r="G89" s="2">
        <v>42</v>
      </c>
      <c r="H89" t="s">
        <v>6</v>
      </c>
      <c r="I89" s="6">
        <v>24.78</v>
      </c>
      <c r="K89" s="4">
        <f>Tabela1[[#This Row],[Estoque total]]-Tabela1[[#This Row],[Consumo]]</f>
        <v>42</v>
      </c>
      <c r="L89" s="7">
        <f>(Tabela1[[#This Row],[Valor total]]/Tabela1[[#This Row],[Estoque total]])*Tabela1[[#This Row],[Consumo]]</f>
        <v>0</v>
      </c>
    </row>
    <row r="90" spans="1:12" x14ac:dyDescent="0.25">
      <c r="A90" t="s">
        <v>178</v>
      </c>
      <c r="B90" t="s">
        <v>179</v>
      </c>
      <c r="C90" t="s">
        <v>2</v>
      </c>
      <c r="D90" t="s">
        <v>3</v>
      </c>
      <c r="E90" t="s">
        <v>4</v>
      </c>
      <c r="F90" t="s">
        <v>5</v>
      </c>
      <c r="G90" s="2">
        <v>24</v>
      </c>
      <c r="H90" t="s">
        <v>6</v>
      </c>
      <c r="I90" s="6">
        <v>107.28</v>
      </c>
      <c r="K90" s="4">
        <f>Tabela1[[#This Row],[Estoque total]]-Tabela1[[#This Row],[Consumo]]</f>
        <v>24</v>
      </c>
      <c r="L90" s="7">
        <f>(Tabela1[[#This Row],[Valor total]]/Tabela1[[#This Row],[Estoque total]])*Tabela1[[#This Row],[Consumo]]</f>
        <v>0</v>
      </c>
    </row>
    <row r="91" spans="1:12" x14ac:dyDescent="0.25">
      <c r="A91" t="s">
        <v>180</v>
      </c>
      <c r="B91" t="s">
        <v>181</v>
      </c>
      <c r="C91" t="s">
        <v>2</v>
      </c>
      <c r="D91" t="s">
        <v>3</v>
      </c>
      <c r="E91" t="s">
        <v>4</v>
      </c>
      <c r="F91" t="s">
        <v>5</v>
      </c>
      <c r="G91" s="2">
        <v>24</v>
      </c>
      <c r="H91" t="s">
        <v>6</v>
      </c>
      <c r="I91" s="6">
        <v>356.64</v>
      </c>
      <c r="K91" s="4">
        <f>Tabela1[[#This Row],[Estoque total]]-Tabela1[[#This Row],[Consumo]]</f>
        <v>24</v>
      </c>
      <c r="L91" s="7">
        <f>(Tabela1[[#This Row],[Valor total]]/Tabela1[[#This Row],[Estoque total]])*Tabela1[[#This Row],[Consumo]]</f>
        <v>0</v>
      </c>
    </row>
    <row r="92" spans="1:12" x14ac:dyDescent="0.25">
      <c r="A92" t="s">
        <v>182</v>
      </c>
      <c r="B92" t="s">
        <v>183</v>
      </c>
      <c r="C92" t="s">
        <v>2</v>
      </c>
      <c r="D92" t="s">
        <v>3</v>
      </c>
      <c r="E92" t="s">
        <v>4</v>
      </c>
      <c r="F92" t="s">
        <v>5</v>
      </c>
      <c r="G92" s="2">
        <v>340</v>
      </c>
      <c r="H92" t="s">
        <v>6</v>
      </c>
      <c r="I92" s="6">
        <v>1104.5899999999999</v>
      </c>
      <c r="K92" s="4">
        <f>Tabela1[[#This Row],[Estoque total]]-Tabela1[[#This Row],[Consumo]]</f>
        <v>340</v>
      </c>
      <c r="L92" s="7">
        <f>(Tabela1[[#This Row],[Valor total]]/Tabela1[[#This Row],[Estoque total]])*Tabela1[[#This Row],[Consumo]]</f>
        <v>0</v>
      </c>
    </row>
    <row r="93" spans="1:12" x14ac:dyDescent="0.25">
      <c r="A93" t="s">
        <v>184</v>
      </c>
      <c r="B93" t="s">
        <v>185</v>
      </c>
      <c r="C93" t="s">
        <v>2</v>
      </c>
      <c r="D93" t="s">
        <v>3</v>
      </c>
      <c r="E93" t="s">
        <v>4</v>
      </c>
      <c r="F93" t="s">
        <v>5</v>
      </c>
      <c r="G93" s="2">
        <v>648</v>
      </c>
      <c r="H93" t="s">
        <v>6</v>
      </c>
      <c r="I93" s="6">
        <v>2462.4</v>
      </c>
      <c r="K93" s="4">
        <f>Tabela1[[#This Row],[Estoque total]]-Tabela1[[#This Row],[Consumo]]</f>
        <v>648</v>
      </c>
      <c r="L93" s="7">
        <f>(Tabela1[[#This Row],[Valor total]]/Tabela1[[#This Row],[Estoque total]])*Tabela1[[#This Row],[Consumo]]</f>
        <v>0</v>
      </c>
    </row>
    <row r="94" spans="1:12" x14ac:dyDescent="0.25">
      <c r="A94" t="s">
        <v>186</v>
      </c>
      <c r="B94" t="s">
        <v>187</v>
      </c>
      <c r="C94" t="s">
        <v>2</v>
      </c>
      <c r="D94" t="s">
        <v>3</v>
      </c>
      <c r="E94" t="s">
        <v>4</v>
      </c>
      <c r="F94" t="s">
        <v>5</v>
      </c>
      <c r="G94" s="2">
        <v>50</v>
      </c>
      <c r="H94" t="s">
        <v>6</v>
      </c>
      <c r="I94" s="6">
        <v>188</v>
      </c>
      <c r="K94" s="4">
        <f>Tabela1[[#This Row],[Estoque total]]-Tabela1[[#This Row],[Consumo]]</f>
        <v>50</v>
      </c>
      <c r="L94" s="7">
        <f>(Tabela1[[#This Row],[Valor total]]/Tabela1[[#This Row],[Estoque total]])*Tabela1[[#This Row],[Consumo]]</f>
        <v>0</v>
      </c>
    </row>
    <row r="95" spans="1:12" x14ac:dyDescent="0.25">
      <c r="A95" t="s">
        <v>188</v>
      </c>
      <c r="B95" t="s">
        <v>189</v>
      </c>
      <c r="C95" t="s">
        <v>2</v>
      </c>
      <c r="D95" t="s">
        <v>3</v>
      </c>
      <c r="E95" t="s">
        <v>4</v>
      </c>
      <c r="F95" t="s">
        <v>5</v>
      </c>
      <c r="G95" s="2">
        <v>58</v>
      </c>
      <c r="H95" t="s">
        <v>6</v>
      </c>
      <c r="I95" s="6">
        <v>240.7</v>
      </c>
      <c r="K95" s="4">
        <f>Tabela1[[#This Row],[Estoque total]]-Tabela1[[#This Row],[Consumo]]</f>
        <v>58</v>
      </c>
      <c r="L95" s="7">
        <f>(Tabela1[[#This Row],[Valor total]]/Tabela1[[#This Row],[Estoque total]])*Tabela1[[#This Row],[Consumo]]</f>
        <v>0</v>
      </c>
    </row>
    <row r="96" spans="1:12" x14ac:dyDescent="0.25">
      <c r="A96" t="s">
        <v>190</v>
      </c>
      <c r="B96" t="s">
        <v>191</v>
      </c>
      <c r="C96" t="s">
        <v>2</v>
      </c>
      <c r="D96" t="s">
        <v>3</v>
      </c>
      <c r="E96" t="s">
        <v>4</v>
      </c>
      <c r="F96" t="s">
        <v>5</v>
      </c>
      <c r="G96" s="2">
        <v>140</v>
      </c>
      <c r="H96" t="s">
        <v>6</v>
      </c>
      <c r="I96" s="6">
        <v>642.6</v>
      </c>
      <c r="K96" s="4">
        <f>Tabela1[[#This Row],[Estoque total]]-Tabela1[[#This Row],[Consumo]]</f>
        <v>140</v>
      </c>
      <c r="L96" s="7">
        <f>(Tabela1[[#This Row],[Valor total]]/Tabela1[[#This Row],[Estoque total]])*Tabela1[[#This Row],[Consumo]]</f>
        <v>0</v>
      </c>
    </row>
    <row r="97" spans="1:12" x14ac:dyDescent="0.25">
      <c r="A97" t="s">
        <v>192</v>
      </c>
      <c r="B97" t="s">
        <v>193</v>
      </c>
      <c r="C97" t="s">
        <v>2</v>
      </c>
      <c r="D97" t="s">
        <v>3</v>
      </c>
      <c r="E97" t="s">
        <v>4</v>
      </c>
      <c r="F97" t="s">
        <v>5</v>
      </c>
      <c r="G97" s="2">
        <v>20</v>
      </c>
      <c r="H97" t="s">
        <v>6</v>
      </c>
      <c r="I97" s="6">
        <v>90.6</v>
      </c>
      <c r="K97" s="4">
        <f>Tabela1[[#This Row],[Estoque total]]-Tabela1[[#This Row],[Consumo]]</f>
        <v>20</v>
      </c>
      <c r="L97" s="7">
        <f>(Tabela1[[#This Row],[Valor total]]/Tabela1[[#This Row],[Estoque total]])*Tabela1[[#This Row],[Consumo]]</f>
        <v>0</v>
      </c>
    </row>
    <row r="98" spans="1:12" x14ac:dyDescent="0.25">
      <c r="A98" t="s">
        <v>194</v>
      </c>
      <c r="B98" t="s">
        <v>195</v>
      </c>
      <c r="C98" t="s">
        <v>2</v>
      </c>
      <c r="D98" t="s">
        <v>3</v>
      </c>
      <c r="E98" t="s">
        <v>4</v>
      </c>
      <c r="F98" t="s">
        <v>5</v>
      </c>
      <c r="G98" s="2">
        <v>176</v>
      </c>
      <c r="H98" t="s">
        <v>6</v>
      </c>
      <c r="I98" s="6">
        <v>761.18</v>
      </c>
      <c r="J98">
        <v>4</v>
      </c>
      <c r="K98" s="4">
        <f>Tabela1[[#This Row],[Estoque total]]-Tabela1[[#This Row],[Consumo]]</f>
        <v>172</v>
      </c>
      <c r="L98" s="7">
        <f>(Tabela1[[#This Row],[Valor total]]/Tabela1[[#This Row],[Estoque total]])*Tabela1[[#This Row],[Consumo]]</f>
        <v>17.299545454545452</v>
      </c>
    </row>
    <row r="99" spans="1:12" x14ac:dyDescent="0.25">
      <c r="A99" t="s">
        <v>196</v>
      </c>
      <c r="B99" t="s">
        <v>197</v>
      </c>
      <c r="C99" t="s">
        <v>2</v>
      </c>
      <c r="D99" t="s">
        <v>3</v>
      </c>
      <c r="E99" t="s">
        <v>4</v>
      </c>
      <c r="F99" t="s">
        <v>5</v>
      </c>
      <c r="G99" s="2">
        <v>12</v>
      </c>
      <c r="H99" t="s">
        <v>6</v>
      </c>
      <c r="I99" s="6">
        <v>56.04</v>
      </c>
      <c r="K99" s="4">
        <f>Tabela1[[#This Row],[Estoque total]]-Tabela1[[#This Row],[Consumo]]</f>
        <v>12</v>
      </c>
      <c r="L99" s="7">
        <f>(Tabela1[[#This Row],[Valor total]]/Tabela1[[#This Row],[Estoque total]])*Tabela1[[#This Row],[Consumo]]</f>
        <v>0</v>
      </c>
    </row>
    <row r="100" spans="1:12" x14ac:dyDescent="0.25">
      <c r="A100" t="s">
        <v>198</v>
      </c>
      <c r="B100" t="s">
        <v>199</v>
      </c>
      <c r="C100" t="s">
        <v>2</v>
      </c>
      <c r="D100" t="s">
        <v>3</v>
      </c>
      <c r="E100" t="s">
        <v>4</v>
      </c>
      <c r="F100" t="s">
        <v>5</v>
      </c>
      <c r="G100" s="2">
        <v>24</v>
      </c>
      <c r="H100" t="s">
        <v>6</v>
      </c>
      <c r="I100" s="6">
        <v>129.36000000000001</v>
      </c>
      <c r="K100" s="4">
        <f>Tabela1[[#This Row],[Estoque total]]-Tabela1[[#This Row],[Consumo]]</f>
        <v>24</v>
      </c>
      <c r="L100" s="7">
        <f>(Tabela1[[#This Row],[Valor total]]/Tabela1[[#This Row],[Estoque total]])*Tabela1[[#This Row],[Consumo]]</f>
        <v>0</v>
      </c>
    </row>
    <row r="101" spans="1:12" x14ac:dyDescent="0.25">
      <c r="A101" t="s">
        <v>200</v>
      </c>
      <c r="B101" t="s">
        <v>201</v>
      </c>
      <c r="C101" t="s">
        <v>2</v>
      </c>
      <c r="D101" t="s">
        <v>3</v>
      </c>
      <c r="E101" t="s">
        <v>4</v>
      </c>
      <c r="F101" t="s">
        <v>5</v>
      </c>
      <c r="G101" s="2">
        <v>10</v>
      </c>
      <c r="H101" t="s">
        <v>6</v>
      </c>
      <c r="I101" s="6">
        <v>51.5</v>
      </c>
      <c r="K101" s="4">
        <f>Tabela1[[#This Row],[Estoque total]]-Tabela1[[#This Row],[Consumo]]</f>
        <v>10</v>
      </c>
      <c r="L101" s="7">
        <f>(Tabela1[[#This Row],[Valor total]]/Tabela1[[#This Row],[Estoque total]])*Tabela1[[#This Row],[Consumo]]</f>
        <v>0</v>
      </c>
    </row>
    <row r="102" spans="1:12" x14ac:dyDescent="0.25">
      <c r="A102" t="s">
        <v>202</v>
      </c>
      <c r="B102" t="s">
        <v>203</v>
      </c>
      <c r="C102" t="s">
        <v>2</v>
      </c>
      <c r="D102" t="s">
        <v>3</v>
      </c>
      <c r="E102" t="s">
        <v>4</v>
      </c>
      <c r="F102" t="s">
        <v>5</v>
      </c>
      <c r="G102" s="2">
        <v>286</v>
      </c>
      <c r="H102" t="s">
        <v>6</v>
      </c>
      <c r="I102" s="6">
        <v>22.88</v>
      </c>
      <c r="K102" s="4">
        <f>Tabela1[[#This Row],[Estoque total]]-Tabela1[[#This Row],[Consumo]]</f>
        <v>286</v>
      </c>
      <c r="L102" s="7">
        <f>(Tabela1[[#This Row],[Valor total]]/Tabela1[[#This Row],[Estoque total]])*Tabela1[[#This Row],[Consumo]]</f>
        <v>0</v>
      </c>
    </row>
    <row r="103" spans="1:12" x14ac:dyDescent="0.25">
      <c r="A103" t="s">
        <v>204</v>
      </c>
      <c r="B103" t="s">
        <v>205</v>
      </c>
      <c r="C103" t="s">
        <v>2</v>
      </c>
      <c r="D103" t="s">
        <v>3</v>
      </c>
      <c r="E103" t="s">
        <v>4</v>
      </c>
      <c r="F103" t="s">
        <v>5</v>
      </c>
      <c r="G103" s="2">
        <v>416</v>
      </c>
      <c r="H103" t="s">
        <v>6</v>
      </c>
      <c r="I103" s="6">
        <v>67.209999999999994</v>
      </c>
      <c r="K103" s="4">
        <f>Tabela1[[#This Row],[Estoque total]]-Tabela1[[#This Row],[Consumo]]</f>
        <v>416</v>
      </c>
      <c r="L103" s="7">
        <f>(Tabela1[[#This Row],[Valor total]]/Tabela1[[#This Row],[Estoque total]])*Tabela1[[#This Row],[Consumo]]</f>
        <v>0</v>
      </c>
    </row>
    <row r="104" spans="1:12" x14ac:dyDescent="0.25">
      <c r="A104" t="s">
        <v>206</v>
      </c>
      <c r="B104" t="s">
        <v>207</v>
      </c>
      <c r="C104" t="s">
        <v>2</v>
      </c>
      <c r="D104" t="s">
        <v>3</v>
      </c>
      <c r="E104" t="s">
        <v>4</v>
      </c>
      <c r="F104" t="s">
        <v>5</v>
      </c>
      <c r="G104" s="2">
        <v>579</v>
      </c>
      <c r="H104" t="s">
        <v>6</v>
      </c>
      <c r="I104" s="6">
        <v>52.11</v>
      </c>
      <c r="K104" s="4">
        <f>Tabela1[[#This Row],[Estoque total]]-Tabela1[[#This Row],[Consumo]]</f>
        <v>579</v>
      </c>
      <c r="L104" s="7">
        <f>(Tabela1[[#This Row],[Valor total]]/Tabela1[[#This Row],[Estoque total]])*Tabela1[[#This Row],[Consumo]]</f>
        <v>0</v>
      </c>
    </row>
    <row r="105" spans="1:12" x14ac:dyDescent="0.25">
      <c r="A105" t="s">
        <v>208</v>
      </c>
      <c r="B105" t="s">
        <v>209</v>
      </c>
      <c r="C105" t="s">
        <v>2</v>
      </c>
      <c r="D105" t="s">
        <v>3</v>
      </c>
      <c r="E105" t="s">
        <v>4</v>
      </c>
      <c r="F105" t="s">
        <v>5</v>
      </c>
      <c r="G105" s="2">
        <v>48</v>
      </c>
      <c r="H105" t="s">
        <v>6</v>
      </c>
      <c r="I105" s="6">
        <v>3.84</v>
      </c>
      <c r="K105" s="4">
        <f>Tabela1[[#This Row],[Estoque total]]-Tabela1[[#This Row],[Consumo]]</f>
        <v>48</v>
      </c>
      <c r="L105" s="7">
        <f>(Tabela1[[#This Row],[Valor total]]/Tabela1[[#This Row],[Estoque total]])*Tabela1[[#This Row],[Consumo]]</f>
        <v>0</v>
      </c>
    </row>
    <row r="106" spans="1:12" x14ac:dyDescent="0.25">
      <c r="A106" t="s">
        <v>210</v>
      </c>
      <c r="B106" t="s">
        <v>211</v>
      </c>
      <c r="C106" t="s">
        <v>2</v>
      </c>
      <c r="D106" t="s">
        <v>3</v>
      </c>
      <c r="E106" t="s">
        <v>4</v>
      </c>
      <c r="F106" t="s">
        <v>5</v>
      </c>
      <c r="G106" s="2">
        <v>510</v>
      </c>
      <c r="H106" t="s">
        <v>6</v>
      </c>
      <c r="I106" s="6">
        <v>61.2</v>
      </c>
      <c r="K106" s="4">
        <f>Tabela1[[#This Row],[Estoque total]]-Tabela1[[#This Row],[Consumo]]</f>
        <v>510</v>
      </c>
      <c r="L106" s="7">
        <f>(Tabela1[[#This Row],[Valor total]]/Tabela1[[#This Row],[Estoque total]])*Tabela1[[#This Row],[Consumo]]</f>
        <v>0</v>
      </c>
    </row>
    <row r="107" spans="1:12" x14ac:dyDescent="0.25">
      <c r="A107" t="s">
        <v>212</v>
      </c>
      <c r="B107" t="s">
        <v>213</v>
      </c>
      <c r="C107" t="s">
        <v>2</v>
      </c>
      <c r="D107" t="s">
        <v>3</v>
      </c>
      <c r="E107" t="s">
        <v>4</v>
      </c>
      <c r="F107" t="s">
        <v>5</v>
      </c>
      <c r="G107" s="2">
        <v>24</v>
      </c>
      <c r="H107" t="s">
        <v>6</v>
      </c>
      <c r="I107" s="6">
        <v>4.32</v>
      </c>
      <c r="K107" s="4">
        <f>Tabela1[[#This Row],[Estoque total]]-Tabela1[[#This Row],[Consumo]]</f>
        <v>24</v>
      </c>
      <c r="L107" s="7">
        <f>(Tabela1[[#This Row],[Valor total]]/Tabela1[[#This Row],[Estoque total]])*Tabela1[[#This Row],[Consumo]]</f>
        <v>0</v>
      </c>
    </row>
    <row r="108" spans="1:12" x14ac:dyDescent="0.25">
      <c r="A108" t="s">
        <v>214</v>
      </c>
      <c r="B108" t="s">
        <v>215</v>
      </c>
      <c r="C108" t="s">
        <v>2</v>
      </c>
      <c r="D108" t="s">
        <v>3</v>
      </c>
      <c r="E108" t="s">
        <v>4</v>
      </c>
      <c r="F108" t="s">
        <v>5</v>
      </c>
      <c r="G108" s="2">
        <v>48</v>
      </c>
      <c r="H108" t="s">
        <v>6</v>
      </c>
      <c r="I108" s="6">
        <v>110.88</v>
      </c>
      <c r="K108" s="4">
        <f>Tabela1[[#This Row],[Estoque total]]-Tabela1[[#This Row],[Consumo]]</f>
        <v>48</v>
      </c>
      <c r="L108" s="7">
        <f>(Tabela1[[#This Row],[Valor total]]/Tabela1[[#This Row],[Estoque total]])*Tabela1[[#This Row],[Consumo]]</f>
        <v>0</v>
      </c>
    </row>
    <row r="109" spans="1:12" x14ac:dyDescent="0.25">
      <c r="A109" t="s">
        <v>216</v>
      </c>
      <c r="B109" t="s">
        <v>217</v>
      </c>
      <c r="C109" t="s">
        <v>2</v>
      </c>
      <c r="D109" t="s">
        <v>3</v>
      </c>
      <c r="E109" t="s">
        <v>4</v>
      </c>
      <c r="F109" t="s">
        <v>5</v>
      </c>
      <c r="G109" s="2">
        <v>74</v>
      </c>
      <c r="H109" t="s">
        <v>6</v>
      </c>
      <c r="I109" s="6">
        <v>657.12</v>
      </c>
      <c r="K109" s="4">
        <f>Tabela1[[#This Row],[Estoque total]]-Tabela1[[#This Row],[Consumo]]</f>
        <v>74</v>
      </c>
      <c r="L109" s="7">
        <f>(Tabela1[[#This Row],[Valor total]]/Tabela1[[#This Row],[Estoque total]])*Tabela1[[#This Row],[Consumo]]</f>
        <v>0</v>
      </c>
    </row>
    <row r="110" spans="1:12" x14ac:dyDescent="0.25">
      <c r="A110" t="s">
        <v>218</v>
      </c>
      <c r="B110" t="s">
        <v>219</v>
      </c>
      <c r="C110" t="s">
        <v>2</v>
      </c>
      <c r="D110" t="s">
        <v>3</v>
      </c>
      <c r="E110" t="s">
        <v>4</v>
      </c>
      <c r="F110" t="s">
        <v>5</v>
      </c>
      <c r="G110" s="2">
        <v>25</v>
      </c>
      <c r="H110" t="s">
        <v>6</v>
      </c>
      <c r="I110" s="6">
        <v>256</v>
      </c>
      <c r="K110" s="4">
        <f>Tabela1[[#This Row],[Estoque total]]-Tabela1[[#This Row],[Consumo]]</f>
        <v>25</v>
      </c>
      <c r="L110" s="7">
        <f>(Tabela1[[#This Row],[Valor total]]/Tabela1[[#This Row],[Estoque total]])*Tabela1[[#This Row],[Consumo]]</f>
        <v>0</v>
      </c>
    </row>
    <row r="111" spans="1:12" x14ac:dyDescent="0.25">
      <c r="A111" t="s">
        <v>220</v>
      </c>
      <c r="B111" t="s">
        <v>221</v>
      </c>
      <c r="C111" t="s">
        <v>2</v>
      </c>
      <c r="D111" t="s">
        <v>3</v>
      </c>
      <c r="E111" t="s">
        <v>4</v>
      </c>
      <c r="F111" t="s">
        <v>5</v>
      </c>
      <c r="G111" s="2">
        <v>67</v>
      </c>
      <c r="H111" t="s">
        <v>6</v>
      </c>
      <c r="I111" s="6">
        <v>426.12</v>
      </c>
      <c r="K111" s="4">
        <f>Tabela1[[#This Row],[Estoque total]]-Tabela1[[#This Row],[Consumo]]</f>
        <v>67</v>
      </c>
      <c r="L111" s="7">
        <f>(Tabela1[[#This Row],[Valor total]]/Tabela1[[#This Row],[Estoque total]])*Tabela1[[#This Row],[Consumo]]</f>
        <v>0</v>
      </c>
    </row>
    <row r="112" spans="1:12" x14ac:dyDescent="0.25">
      <c r="A112" t="s">
        <v>222</v>
      </c>
      <c r="B112" t="s">
        <v>223</v>
      </c>
      <c r="C112" t="s">
        <v>2</v>
      </c>
      <c r="D112" t="s">
        <v>3</v>
      </c>
      <c r="E112" t="s">
        <v>4</v>
      </c>
      <c r="F112" t="s">
        <v>5</v>
      </c>
      <c r="G112" s="2">
        <v>4</v>
      </c>
      <c r="H112" t="s">
        <v>6</v>
      </c>
      <c r="I112" s="6">
        <v>30.92</v>
      </c>
      <c r="K112" s="4">
        <f>Tabela1[[#This Row],[Estoque total]]-Tabela1[[#This Row],[Consumo]]</f>
        <v>4</v>
      </c>
      <c r="L112" s="7">
        <f>(Tabela1[[#This Row],[Valor total]]/Tabela1[[#This Row],[Estoque total]])*Tabela1[[#This Row],[Consumo]]</f>
        <v>0</v>
      </c>
    </row>
    <row r="113" spans="1:12" x14ac:dyDescent="0.25">
      <c r="A113" t="s">
        <v>224</v>
      </c>
      <c r="B113" t="s">
        <v>225</v>
      </c>
      <c r="C113" t="s">
        <v>2</v>
      </c>
      <c r="D113" t="s">
        <v>3</v>
      </c>
      <c r="E113" t="s">
        <v>4</v>
      </c>
      <c r="F113" t="s">
        <v>5</v>
      </c>
      <c r="G113" s="2">
        <v>6</v>
      </c>
      <c r="H113" t="s">
        <v>6</v>
      </c>
      <c r="I113" s="6">
        <v>195.9</v>
      </c>
      <c r="K113" s="4">
        <f>Tabela1[[#This Row],[Estoque total]]-Tabela1[[#This Row],[Consumo]]</f>
        <v>6</v>
      </c>
      <c r="L113" s="7">
        <f>(Tabela1[[#This Row],[Valor total]]/Tabela1[[#This Row],[Estoque total]])*Tabela1[[#This Row],[Consumo]]</f>
        <v>0</v>
      </c>
    </row>
    <row r="114" spans="1:12" x14ac:dyDescent="0.25">
      <c r="A114" t="s">
        <v>226</v>
      </c>
      <c r="B114" t="s">
        <v>227</v>
      </c>
      <c r="C114" t="s">
        <v>2</v>
      </c>
      <c r="D114" t="s">
        <v>3</v>
      </c>
      <c r="E114" t="s">
        <v>4</v>
      </c>
      <c r="F114" t="s">
        <v>5</v>
      </c>
      <c r="G114" s="2">
        <v>2</v>
      </c>
      <c r="H114" t="s">
        <v>6</v>
      </c>
      <c r="I114" s="6">
        <v>32.06</v>
      </c>
      <c r="K114" s="4">
        <f>Tabela1[[#This Row],[Estoque total]]-Tabela1[[#This Row],[Consumo]]</f>
        <v>2</v>
      </c>
      <c r="L114" s="7">
        <f>(Tabela1[[#This Row],[Valor total]]/Tabela1[[#This Row],[Estoque total]])*Tabela1[[#This Row],[Consumo]]</f>
        <v>0</v>
      </c>
    </row>
    <row r="115" spans="1:12" x14ac:dyDescent="0.25">
      <c r="A115" t="s">
        <v>228</v>
      </c>
      <c r="B115" t="s">
        <v>229</v>
      </c>
      <c r="C115" t="s">
        <v>2</v>
      </c>
      <c r="D115" t="s">
        <v>3</v>
      </c>
      <c r="E115" t="s">
        <v>4</v>
      </c>
      <c r="F115" t="s">
        <v>5</v>
      </c>
      <c r="G115" s="2">
        <v>4</v>
      </c>
      <c r="H115" t="s">
        <v>6</v>
      </c>
      <c r="I115" s="6">
        <v>78.2</v>
      </c>
      <c r="K115" s="4">
        <f>Tabela1[[#This Row],[Estoque total]]-Tabela1[[#This Row],[Consumo]]</f>
        <v>4</v>
      </c>
      <c r="L115" s="7">
        <f>(Tabela1[[#This Row],[Valor total]]/Tabela1[[#This Row],[Estoque total]])*Tabela1[[#This Row],[Consumo]]</f>
        <v>0</v>
      </c>
    </row>
    <row r="116" spans="1:12" x14ac:dyDescent="0.25">
      <c r="A116" t="s">
        <v>230</v>
      </c>
      <c r="B116" t="s">
        <v>231</v>
      </c>
      <c r="C116" t="s">
        <v>2</v>
      </c>
      <c r="D116" t="s">
        <v>3</v>
      </c>
      <c r="E116" t="s">
        <v>4</v>
      </c>
      <c r="F116" t="s">
        <v>5</v>
      </c>
      <c r="G116" s="2">
        <v>1</v>
      </c>
      <c r="H116" t="s">
        <v>6</v>
      </c>
      <c r="I116" s="6">
        <v>46.62</v>
      </c>
      <c r="K116" s="4">
        <f>Tabela1[[#This Row],[Estoque total]]-Tabela1[[#This Row],[Consumo]]</f>
        <v>1</v>
      </c>
      <c r="L116" s="7">
        <f>(Tabela1[[#This Row],[Valor total]]/Tabela1[[#This Row],[Estoque total]])*Tabela1[[#This Row],[Consumo]]</f>
        <v>0</v>
      </c>
    </row>
    <row r="117" spans="1:12" x14ac:dyDescent="0.25">
      <c r="A117" t="s">
        <v>232</v>
      </c>
      <c r="B117" t="s">
        <v>233</v>
      </c>
      <c r="C117" t="s">
        <v>2</v>
      </c>
      <c r="D117" t="s">
        <v>3</v>
      </c>
      <c r="E117" t="s">
        <v>4</v>
      </c>
      <c r="F117" t="s">
        <v>5</v>
      </c>
      <c r="G117" s="2">
        <v>2</v>
      </c>
      <c r="H117" t="s">
        <v>6</v>
      </c>
      <c r="I117" s="6">
        <v>239.62</v>
      </c>
      <c r="K117" s="4">
        <f>Tabela1[[#This Row],[Estoque total]]-Tabela1[[#This Row],[Consumo]]</f>
        <v>2</v>
      </c>
      <c r="L117" s="7">
        <f>(Tabela1[[#This Row],[Valor total]]/Tabela1[[#This Row],[Estoque total]])*Tabela1[[#This Row],[Consumo]]</f>
        <v>0</v>
      </c>
    </row>
    <row r="118" spans="1:12" x14ac:dyDescent="0.25">
      <c r="A118" t="s">
        <v>234</v>
      </c>
      <c r="B118" t="s">
        <v>235</v>
      </c>
      <c r="C118" t="s">
        <v>2</v>
      </c>
      <c r="D118" t="s">
        <v>3</v>
      </c>
      <c r="E118" t="s">
        <v>4</v>
      </c>
      <c r="F118" t="s">
        <v>5</v>
      </c>
      <c r="G118" s="2">
        <v>3</v>
      </c>
      <c r="H118" t="s">
        <v>6</v>
      </c>
      <c r="I118" s="6">
        <v>437.88</v>
      </c>
      <c r="K118" s="4">
        <f>Tabela1[[#This Row],[Estoque total]]-Tabela1[[#This Row],[Consumo]]</f>
        <v>3</v>
      </c>
      <c r="L118" s="7">
        <f>(Tabela1[[#This Row],[Valor total]]/Tabela1[[#This Row],[Estoque total]])*Tabela1[[#This Row],[Consumo]]</f>
        <v>0</v>
      </c>
    </row>
    <row r="119" spans="1:12" x14ac:dyDescent="0.25">
      <c r="A119" t="s">
        <v>236</v>
      </c>
      <c r="B119" t="s">
        <v>237</v>
      </c>
      <c r="C119" t="s">
        <v>2</v>
      </c>
      <c r="D119" t="s">
        <v>3</v>
      </c>
      <c r="E119" t="s">
        <v>4</v>
      </c>
      <c r="F119" t="s">
        <v>5</v>
      </c>
      <c r="G119" s="2">
        <v>2</v>
      </c>
      <c r="H119" t="s">
        <v>6</v>
      </c>
      <c r="I119" s="6">
        <v>87.52</v>
      </c>
      <c r="K119" s="4">
        <f>Tabela1[[#This Row],[Estoque total]]-Tabela1[[#This Row],[Consumo]]</f>
        <v>2</v>
      </c>
      <c r="L119" s="7">
        <f>(Tabela1[[#This Row],[Valor total]]/Tabela1[[#This Row],[Estoque total]])*Tabela1[[#This Row],[Consumo]]</f>
        <v>0</v>
      </c>
    </row>
    <row r="120" spans="1:12" x14ac:dyDescent="0.25">
      <c r="A120" t="s">
        <v>238</v>
      </c>
      <c r="B120" t="s">
        <v>239</v>
      </c>
      <c r="C120" t="s">
        <v>2</v>
      </c>
      <c r="D120" t="s">
        <v>3</v>
      </c>
      <c r="E120" t="s">
        <v>4</v>
      </c>
      <c r="F120" t="s">
        <v>5</v>
      </c>
      <c r="G120" s="2">
        <v>3</v>
      </c>
      <c r="H120" t="s">
        <v>6</v>
      </c>
      <c r="I120" s="6">
        <v>150.18</v>
      </c>
      <c r="K120" s="4">
        <f>Tabela1[[#This Row],[Estoque total]]-Tabela1[[#This Row],[Consumo]]</f>
        <v>3</v>
      </c>
      <c r="L120" s="7">
        <f>(Tabela1[[#This Row],[Valor total]]/Tabela1[[#This Row],[Estoque total]])*Tabela1[[#This Row],[Consumo]]</f>
        <v>0</v>
      </c>
    </row>
    <row r="121" spans="1:12" x14ac:dyDescent="0.25">
      <c r="A121" t="s">
        <v>240</v>
      </c>
      <c r="B121" t="s">
        <v>241</v>
      </c>
      <c r="C121" t="s">
        <v>2</v>
      </c>
      <c r="D121" t="s">
        <v>3</v>
      </c>
      <c r="E121" t="s">
        <v>4</v>
      </c>
      <c r="F121" t="s">
        <v>5</v>
      </c>
      <c r="G121" s="2">
        <v>2</v>
      </c>
      <c r="H121" t="s">
        <v>6</v>
      </c>
      <c r="I121" s="6">
        <v>86.72</v>
      </c>
      <c r="K121" s="4">
        <f>Tabela1[[#This Row],[Estoque total]]-Tabela1[[#This Row],[Consumo]]</f>
        <v>2</v>
      </c>
      <c r="L121" s="7">
        <f>(Tabela1[[#This Row],[Valor total]]/Tabela1[[#This Row],[Estoque total]])*Tabela1[[#This Row],[Consumo]]</f>
        <v>0</v>
      </c>
    </row>
    <row r="122" spans="1:12" x14ac:dyDescent="0.25">
      <c r="A122" t="s">
        <v>242</v>
      </c>
      <c r="B122" t="s">
        <v>243</v>
      </c>
      <c r="C122" t="s">
        <v>2</v>
      </c>
      <c r="D122" t="s">
        <v>3</v>
      </c>
      <c r="E122" t="s">
        <v>4</v>
      </c>
      <c r="F122" t="s">
        <v>5</v>
      </c>
      <c r="G122" s="2">
        <v>3</v>
      </c>
      <c r="H122" t="s">
        <v>6</v>
      </c>
      <c r="I122" s="6">
        <v>148.94999999999999</v>
      </c>
      <c r="K122" s="4">
        <f>Tabela1[[#This Row],[Estoque total]]-Tabela1[[#This Row],[Consumo]]</f>
        <v>3</v>
      </c>
      <c r="L122" s="7">
        <f>(Tabela1[[#This Row],[Valor total]]/Tabela1[[#This Row],[Estoque total]])*Tabela1[[#This Row],[Consumo]]</f>
        <v>0</v>
      </c>
    </row>
    <row r="123" spans="1:12" x14ac:dyDescent="0.25">
      <c r="A123" t="s">
        <v>244</v>
      </c>
      <c r="B123" t="s">
        <v>245</v>
      </c>
      <c r="C123" t="s">
        <v>2</v>
      </c>
      <c r="D123" t="s">
        <v>3</v>
      </c>
      <c r="E123" t="s">
        <v>4</v>
      </c>
      <c r="F123" t="s">
        <v>5</v>
      </c>
      <c r="G123" s="2">
        <v>26</v>
      </c>
      <c r="H123" t="s">
        <v>6</v>
      </c>
      <c r="I123" s="6">
        <v>194.22</v>
      </c>
      <c r="K123" s="4">
        <f>Tabela1[[#This Row],[Estoque total]]-Tabela1[[#This Row],[Consumo]]</f>
        <v>26</v>
      </c>
      <c r="L123" s="7">
        <f>(Tabela1[[#This Row],[Valor total]]/Tabela1[[#This Row],[Estoque total]])*Tabela1[[#This Row],[Consumo]]</f>
        <v>0</v>
      </c>
    </row>
    <row r="124" spans="1:12" x14ac:dyDescent="0.25">
      <c r="A124" t="s">
        <v>246</v>
      </c>
      <c r="B124" t="s">
        <v>247</v>
      </c>
      <c r="C124" t="s">
        <v>2</v>
      </c>
      <c r="D124" t="s">
        <v>3</v>
      </c>
      <c r="E124" t="s">
        <v>4</v>
      </c>
      <c r="F124" t="s">
        <v>5</v>
      </c>
      <c r="G124" s="2">
        <v>10</v>
      </c>
      <c r="H124" t="s">
        <v>6</v>
      </c>
      <c r="I124" s="6">
        <v>119.8</v>
      </c>
      <c r="K124" s="4">
        <f>Tabela1[[#This Row],[Estoque total]]-Tabela1[[#This Row],[Consumo]]</f>
        <v>10</v>
      </c>
      <c r="L124" s="7">
        <f>(Tabela1[[#This Row],[Valor total]]/Tabela1[[#This Row],[Estoque total]])*Tabela1[[#This Row],[Consumo]]</f>
        <v>0</v>
      </c>
    </row>
    <row r="125" spans="1:12" x14ac:dyDescent="0.25">
      <c r="A125" t="s">
        <v>248</v>
      </c>
      <c r="B125" t="s">
        <v>249</v>
      </c>
      <c r="C125" t="s">
        <v>2</v>
      </c>
      <c r="D125" t="s">
        <v>3</v>
      </c>
      <c r="E125" t="s">
        <v>4</v>
      </c>
      <c r="F125" t="s">
        <v>5</v>
      </c>
      <c r="G125" s="2">
        <v>30</v>
      </c>
      <c r="H125" t="s">
        <v>6</v>
      </c>
      <c r="I125" s="6">
        <v>723.42</v>
      </c>
      <c r="K125" s="4">
        <f>Tabela1[[#This Row],[Estoque total]]-Tabela1[[#This Row],[Consumo]]</f>
        <v>30</v>
      </c>
      <c r="L125" s="7">
        <f>(Tabela1[[#This Row],[Valor total]]/Tabela1[[#This Row],[Estoque total]])*Tabela1[[#This Row],[Consumo]]</f>
        <v>0</v>
      </c>
    </row>
    <row r="126" spans="1:12" x14ac:dyDescent="0.25">
      <c r="A126" t="s">
        <v>250</v>
      </c>
      <c r="B126" t="s">
        <v>251</v>
      </c>
      <c r="C126" t="s">
        <v>2</v>
      </c>
      <c r="D126" t="s">
        <v>3</v>
      </c>
      <c r="E126" t="s">
        <v>4</v>
      </c>
      <c r="F126" t="s">
        <v>5</v>
      </c>
      <c r="G126" s="2">
        <v>1</v>
      </c>
      <c r="H126" t="s">
        <v>6</v>
      </c>
      <c r="I126" s="6">
        <v>26.18</v>
      </c>
      <c r="K126" s="4">
        <f>Tabela1[[#This Row],[Estoque total]]-Tabela1[[#This Row],[Consumo]]</f>
        <v>1</v>
      </c>
      <c r="L126" s="7">
        <f>(Tabela1[[#This Row],[Valor total]]/Tabela1[[#This Row],[Estoque total]])*Tabela1[[#This Row],[Consumo]]</f>
        <v>0</v>
      </c>
    </row>
    <row r="127" spans="1:12" x14ac:dyDescent="0.25">
      <c r="A127" t="s">
        <v>252</v>
      </c>
      <c r="B127" t="s">
        <v>253</v>
      </c>
      <c r="C127" t="s">
        <v>2</v>
      </c>
      <c r="D127" t="s">
        <v>3</v>
      </c>
      <c r="E127" t="s">
        <v>4</v>
      </c>
      <c r="F127" t="s">
        <v>5</v>
      </c>
      <c r="G127" s="2">
        <v>1</v>
      </c>
      <c r="H127" t="s">
        <v>6</v>
      </c>
      <c r="I127" s="6">
        <v>204.94</v>
      </c>
      <c r="K127" s="4">
        <f>Tabela1[[#This Row],[Estoque total]]-Tabela1[[#This Row],[Consumo]]</f>
        <v>1</v>
      </c>
      <c r="L127" s="7">
        <f>(Tabela1[[#This Row],[Valor total]]/Tabela1[[#This Row],[Estoque total]])*Tabela1[[#This Row],[Consumo]]</f>
        <v>0</v>
      </c>
    </row>
    <row r="128" spans="1:12" x14ac:dyDescent="0.25">
      <c r="A128" t="s">
        <v>254</v>
      </c>
      <c r="B128" t="s">
        <v>255</v>
      </c>
      <c r="C128" t="s">
        <v>2</v>
      </c>
      <c r="D128" t="s">
        <v>3</v>
      </c>
      <c r="E128" t="s">
        <v>4</v>
      </c>
      <c r="F128" t="s">
        <v>5</v>
      </c>
      <c r="G128" s="2">
        <v>1</v>
      </c>
      <c r="H128" t="s">
        <v>6</v>
      </c>
      <c r="I128" s="6">
        <v>51.41</v>
      </c>
      <c r="K128" s="4">
        <f>Tabela1[[#This Row],[Estoque total]]-Tabela1[[#This Row],[Consumo]]</f>
        <v>1</v>
      </c>
      <c r="L128" s="7">
        <f>(Tabela1[[#This Row],[Valor total]]/Tabela1[[#This Row],[Estoque total]])*Tabela1[[#This Row],[Consumo]]</f>
        <v>0</v>
      </c>
    </row>
    <row r="129" spans="1:12" x14ac:dyDescent="0.25">
      <c r="A129" t="s">
        <v>256</v>
      </c>
      <c r="B129" t="s">
        <v>257</v>
      </c>
      <c r="C129" t="s">
        <v>2</v>
      </c>
      <c r="D129" t="s">
        <v>3</v>
      </c>
      <c r="E129" t="s">
        <v>4</v>
      </c>
      <c r="F129" t="s">
        <v>5</v>
      </c>
      <c r="G129" s="2">
        <v>21</v>
      </c>
      <c r="H129" t="s">
        <v>6</v>
      </c>
      <c r="I129" s="6">
        <v>583.79999999999995</v>
      </c>
      <c r="K129" s="4">
        <f>Tabela1[[#This Row],[Estoque total]]-Tabela1[[#This Row],[Consumo]]</f>
        <v>21</v>
      </c>
      <c r="L129" s="7">
        <f>(Tabela1[[#This Row],[Valor total]]/Tabela1[[#This Row],[Estoque total]])*Tabela1[[#This Row],[Consumo]]</f>
        <v>0</v>
      </c>
    </row>
    <row r="130" spans="1:12" x14ac:dyDescent="0.25">
      <c r="A130" t="s">
        <v>258</v>
      </c>
      <c r="B130" t="s">
        <v>259</v>
      </c>
      <c r="C130" t="s">
        <v>2</v>
      </c>
      <c r="D130" t="s">
        <v>3</v>
      </c>
      <c r="E130" t="s">
        <v>4</v>
      </c>
      <c r="F130" t="s">
        <v>5</v>
      </c>
      <c r="G130" s="2">
        <v>594</v>
      </c>
      <c r="H130" t="s">
        <v>6</v>
      </c>
      <c r="I130" s="6">
        <v>778.14</v>
      </c>
      <c r="K130" s="4">
        <f>Tabela1[[#This Row],[Estoque total]]-Tabela1[[#This Row],[Consumo]]</f>
        <v>594</v>
      </c>
      <c r="L130" s="7">
        <f>(Tabela1[[#This Row],[Valor total]]/Tabela1[[#This Row],[Estoque total]])*Tabela1[[#This Row],[Consumo]]</f>
        <v>0</v>
      </c>
    </row>
    <row r="131" spans="1:12" x14ac:dyDescent="0.25">
      <c r="A131" t="s">
        <v>260</v>
      </c>
      <c r="B131" t="s">
        <v>261</v>
      </c>
      <c r="C131" t="s">
        <v>2</v>
      </c>
      <c r="D131" t="s">
        <v>3</v>
      </c>
      <c r="E131" t="s">
        <v>4</v>
      </c>
      <c r="F131" t="s">
        <v>5</v>
      </c>
      <c r="G131" s="2">
        <v>288</v>
      </c>
      <c r="H131" t="s">
        <v>6</v>
      </c>
      <c r="I131" s="6">
        <v>2128.3200000000002</v>
      </c>
      <c r="K131" s="4">
        <f>Tabela1[[#This Row],[Estoque total]]-Tabela1[[#This Row],[Consumo]]</f>
        <v>288</v>
      </c>
      <c r="L131" s="7">
        <f>(Tabela1[[#This Row],[Valor total]]/Tabela1[[#This Row],[Estoque total]])*Tabela1[[#This Row],[Consumo]]</f>
        <v>0</v>
      </c>
    </row>
    <row r="132" spans="1:12" x14ac:dyDescent="0.25">
      <c r="A132" t="s">
        <v>262</v>
      </c>
      <c r="B132" t="s">
        <v>263</v>
      </c>
      <c r="C132" t="s">
        <v>2</v>
      </c>
      <c r="D132" t="s">
        <v>3</v>
      </c>
      <c r="E132" t="s">
        <v>4</v>
      </c>
      <c r="F132" t="s">
        <v>5</v>
      </c>
      <c r="G132" s="2">
        <v>9</v>
      </c>
      <c r="H132" t="s">
        <v>6</v>
      </c>
      <c r="I132" s="6">
        <v>69.569999999999993</v>
      </c>
      <c r="K132" s="4">
        <f>Tabela1[[#This Row],[Estoque total]]-Tabela1[[#This Row],[Consumo]]</f>
        <v>9</v>
      </c>
      <c r="L132" s="7">
        <f>(Tabela1[[#This Row],[Valor total]]/Tabela1[[#This Row],[Estoque total]])*Tabela1[[#This Row],[Consumo]]</f>
        <v>0</v>
      </c>
    </row>
    <row r="133" spans="1:12" x14ac:dyDescent="0.25">
      <c r="A133" t="s">
        <v>264</v>
      </c>
      <c r="B133" t="s">
        <v>265</v>
      </c>
      <c r="C133" t="s">
        <v>2</v>
      </c>
      <c r="D133" t="s">
        <v>3</v>
      </c>
      <c r="E133" t="s">
        <v>4</v>
      </c>
      <c r="F133" t="s">
        <v>5</v>
      </c>
      <c r="G133" s="2">
        <v>14</v>
      </c>
      <c r="H133" t="s">
        <v>6</v>
      </c>
      <c r="I133" s="6">
        <v>92.96</v>
      </c>
      <c r="K133" s="4">
        <f>Tabela1[[#This Row],[Estoque total]]-Tabela1[[#This Row],[Consumo]]</f>
        <v>14</v>
      </c>
      <c r="L133" s="7">
        <f>(Tabela1[[#This Row],[Valor total]]/Tabela1[[#This Row],[Estoque total]])*Tabela1[[#This Row],[Consumo]]</f>
        <v>0</v>
      </c>
    </row>
    <row r="134" spans="1:12" x14ac:dyDescent="0.25">
      <c r="A134" t="s">
        <v>266</v>
      </c>
      <c r="B134" t="s">
        <v>267</v>
      </c>
      <c r="C134" t="s">
        <v>2</v>
      </c>
      <c r="D134" t="s">
        <v>3</v>
      </c>
      <c r="E134" t="s">
        <v>4</v>
      </c>
      <c r="F134" t="s">
        <v>5</v>
      </c>
      <c r="G134" s="2">
        <v>45</v>
      </c>
      <c r="H134" t="s">
        <v>6</v>
      </c>
      <c r="I134" s="6">
        <v>157.5</v>
      </c>
      <c r="K134" s="4">
        <f>Tabela1[[#This Row],[Estoque total]]-Tabela1[[#This Row],[Consumo]]</f>
        <v>45</v>
      </c>
      <c r="L134" s="7">
        <f>(Tabela1[[#This Row],[Valor total]]/Tabela1[[#This Row],[Estoque total]])*Tabela1[[#This Row],[Consumo]]</f>
        <v>0</v>
      </c>
    </row>
    <row r="135" spans="1:12" x14ac:dyDescent="0.25">
      <c r="A135" t="s">
        <v>268</v>
      </c>
      <c r="B135" t="s">
        <v>269</v>
      </c>
      <c r="C135" t="s">
        <v>2</v>
      </c>
      <c r="D135" t="s">
        <v>3</v>
      </c>
      <c r="E135" t="s">
        <v>4</v>
      </c>
      <c r="F135" t="s">
        <v>5</v>
      </c>
      <c r="G135" s="2">
        <v>527</v>
      </c>
      <c r="H135" t="s">
        <v>6</v>
      </c>
      <c r="I135" s="6">
        <v>316.2</v>
      </c>
      <c r="J135">
        <v>108</v>
      </c>
      <c r="K135" s="4">
        <f>Tabela1[[#This Row],[Estoque total]]-Tabela1[[#This Row],[Consumo]]</f>
        <v>419</v>
      </c>
      <c r="L135" s="7">
        <f>(Tabela1[[#This Row],[Valor total]]/Tabela1[[#This Row],[Estoque total]])*Tabela1[[#This Row],[Consumo]]</f>
        <v>64.8</v>
      </c>
    </row>
    <row r="136" spans="1:12" x14ac:dyDescent="0.25">
      <c r="A136" t="s">
        <v>270</v>
      </c>
      <c r="B136" t="s">
        <v>271</v>
      </c>
      <c r="C136" t="s">
        <v>2</v>
      </c>
      <c r="D136" t="s">
        <v>3</v>
      </c>
      <c r="E136" t="s">
        <v>4</v>
      </c>
      <c r="F136" t="s">
        <v>5</v>
      </c>
      <c r="G136" s="2">
        <v>1292</v>
      </c>
      <c r="H136" t="s">
        <v>6</v>
      </c>
      <c r="I136" s="6">
        <v>671.84</v>
      </c>
      <c r="J136">
        <v>9</v>
      </c>
      <c r="K136" s="4">
        <f>Tabela1[[#This Row],[Estoque total]]-Tabela1[[#This Row],[Consumo]]</f>
        <v>1283</v>
      </c>
      <c r="L136" s="7">
        <f>(Tabela1[[#This Row],[Valor total]]/Tabela1[[#This Row],[Estoque total]])*Tabela1[[#This Row],[Consumo]]</f>
        <v>4.68</v>
      </c>
    </row>
    <row r="137" spans="1:12" x14ac:dyDescent="0.25">
      <c r="A137" t="s">
        <v>272</v>
      </c>
      <c r="B137" t="s">
        <v>273</v>
      </c>
      <c r="C137" t="s">
        <v>2</v>
      </c>
      <c r="D137" t="s">
        <v>3</v>
      </c>
      <c r="E137" t="s">
        <v>4</v>
      </c>
      <c r="F137" t="s">
        <v>5</v>
      </c>
      <c r="G137" s="2">
        <v>63</v>
      </c>
      <c r="H137" t="s">
        <v>6</v>
      </c>
      <c r="I137" s="6">
        <v>32.76</v>
      </c>
      <c r="K137" s="4">
        <f>Tabela1[[#This Row],[Estoque total]]-Tabela1[[#This Row],[Consumo]]</f>
        <v>63</v>
      </c>
      <c r="L137" s="7">
        <f>(Tabela1[[#This Row],[Valor total]]/Tabela1[[#This Row],[Estoque total]])*Tabela1[[#This Row],[Consumo]]</f>
        <v>0</v>
      </c>
    </row>
    <row r="138" spans="1:12" x14ac:dyDescent="0.25">
      <c r="A138" t="s">
        <v>274</v>
      </c>
      <c r="B138" t="s">
        <v>275</v>
      </c>
      <c r="C138" t="s">
        <v>2</v>
      </c>
      <c r="D138" t="s">
        <v>3</v>
      </c>
      <c r="E138" t="s">
        <v>4</v>
      </c>
      <c r="F138" t="s">
        <v>5</v>
      </c>
      <c r="G138" s="2">
        <v>64</v>
      </c>
      <c r="H138" t="s">
        <v>6</v>
      </c>
      <c r="I138" s="6">
        <v>116.48</v>
      </c>
      <c r="K138" s="4">
        <f>Tabela1[[#This Row],[Estoque total]]-Tabela1[[#This Row],[Consumo]]</f>
        <v>64</v>
      </c>
      <c r="L138" s="7">
        <f>(Tabela1[[#This Row],[Valor total]]/Tabela1[[#This Row],[Estoque total]])*Tabela1[[#This Row],[Consumo]]</f>
        <v>0</v>
      </c>
    </row>
    <row r="139" spans="1:12" x14ac:dyDescent="0.25">
      <c r="A139" t="s">
        <v>276</v>
      </c>
      <c r="B139" t="s">
        <v>277</v>
      </c>
      <c r="C139" t="s">
        <v>2</v>
      </c>
      <c r="D139" t="s">
        <v>3</v>
      </c>
      <c r="E139" t="s">
        <v>4</v>
      </c>
      <c r="F139" t="s">
        <v>5</v>
      </c>
      <c r="G139" s="2">
        <v>718</v>
      </c>
      <c r="H139" t="s">
        <v>6</v>
      </c>
      <c r="I139" s="6">
        <v>387.72</v>
      </c>
      <c r="J139">
        <v>18</v>
      </c>
      <c r="K139" s="4">
        <f>Tabela1[[#This Row],[Estoque total]]-Tabela1[[#This Row],[Consumo]]</f>
        <v>700</v>
      </c>
      <c r="L139" s="7">
        <f>(Tabela1[[#This Row],[Valor total]]/Tabela1[[#This Row],[Estoque total]])*Tabela1[[#This Row],[Consumo]]</f>
        <v>9.7200000000000006</v>
      </c>
    </row>
    <row r="140" spans="1:12" x14ac:dyDescent="0.25">
      <c r="A140" t="s">
        <v>278</v>
      </c>
      <c r="B140" t="s">
        <v>279</v>
      </c>
      <c r="C140" t="s">
        <v>2</v>
      </c>
      <c r="D140" t="s">
        <v>3</v>
      </c>
      <c r="E140" t="s">
        <v>4</v>
      </c>
      <c r="F140" t="s">
        <v>5</v>
      </c>
      <c r="G140" s="2">
        <v>78</v>
      </c>
      <c r="H140" t="s">
        <v>6</v>
      </c>
      <c r="I140" s="6">
        <v>102.96</v>
      </c>
      <c r="K140" s="4">
        <f>Tabela1[[#This Row],[Estoque total]]-Tabela1[[#This Row],[Consumo]]</f>
        <v>78</v>
      </c>
      <c r="L140" s="7">
        <f>(Tabela1[[#This Row],[Valor total]]/Tabela1[[#This Row],[Estoque total]])*Tabela1[[#This Row],[Consumo]]</f>
        <v>0</v>
      </c>
    </row>
    <row r="141" spans="1:12" x14ac:dyDescent="0.25">
      <c r="A141" t="s">
        <v>280</v>
      </c>
      <c r="B141" t="s">
        <v>281</v>
      </c>
      <c r="C141" t="s">
        <v>2</v>
      </c>
      <c r="D141" t="s">
        <v>3</v>
      </c>
      <c r="E141" t="s">
        <v>4</v>
      </c>
      <c r="F141" t="s">
        <v>5</v>
      </c>
      <c r="G141" s="2">
        <v>15</v>
      </c>
      <c r="H141" t="s">
        <v>6</v>
      </c>
      <c r="I141" s="6">
        <v>23.1</v>
      </c>
      <c r="J141">
        <v>9</v>
      </c>
      <c r="K141" s="4">
        <f>Tabela1[[#This Row],[Estoque total]]-Tabela1[[#This Row],[Consumo]]</f>
        <v>6</v>
      </c>
      <c r="L141" s="7">
        <f>(Tabela1[[#This Row],[Valor total]]/Tabela1[[#This Row],[Estoque total]])*Tabela1[[#This Row],[Consumo]]</f>
        <v>13.86</v>
      </c>
    </row>
    <row r="142" spans="1:12" x14ac:dyDescent="0.25">
      <c r="A142" t="s">
        <v>282</v>
      </c>
      <c r="B142" t="s">
        <v>283</v>
      </c>
      <c r="C142" t="s">
        <v>2</v>
      </c>
      <c r="D142" t="s">
        <v>3</v>
      </c>
      <c r="E142" t="s">
        <v>4</v>
      </c>
      <c r="F142" t="s">
        <v>5</v>
      </c>
      <c r="G142" s="2">
        <v>785</v>
      </c>
      <c r="H142" t="s">
        <v>6</v>
      </c>
      <c r="I142" s="6">
        <v>423.9</v>
      </c>
      <c r="J142">
        <v>27</v>
      </c>
      <c r="K142" s="4">
        <f>Tabela1[[#This Row],[Estoque total]]-Tabela1[[#This Row],[Consumo]]</f>
        <v>758</v>
      </c>
      <c r="L142" s="7">
        <f>(Tabela1[[#This Row],[Valor total]]/Tabela1[[#This Row],[Estoque total]])*Tabela1[[#This Row],[Consumo]]</f>
        <v>14.579999999999998</v>
      </c>
    </row>
    <row r="143" spans="1:12" x14ac:dyDescent="0.25">
      <c r="A143" t="s">
        <v>284</v>
      </c>
      <c r="B143" t="s">
        <v>285</v>
      </c>
      <c r="C143" t="s">
        <v>2</v>
      </c>
      <c r="D143" t="s">
        <v>3</v>
      </c>
      <c r="E143" t="s">
        <v>4</v>
      </c>
      <c r="F143" t="s">
        <v>5</v>
      </c>
      <c r="G143" s="2">
        <v>78</v>
      </c>
      <c r="H143" t="s">
        <v>6</v>
      </c>
      <c r="I143" s="6">
        <v>123.24</v>
      </c>
      <c r="K143" s="4">
        <f>Tabela1[[#This Row],[Estoque total]]-Tabela1[[#This Row],[Consumo]]</f>
        <v>78</v>
      </c>
      <c r="L143" s="7">
        <f>(Tabela1[[#This Row],[Valor total]]/Tabela1[[#This Row],[Estoque total]])*Tabela1[[#This Row],[Consumo]]</f>
        <v>0</v>
      </c>
    </row>
    <row r="144" spans="1:12" x14ac:dyDescent="0.25">
      <c r="A144" t="s">
        <v>286</v>
      </c>
      <c r="B144" t="s">
        <v>287</v>
      </c>
      <c r="C144" t="s">
        <v>2</v>
      </c>
      <c r="D144" t="s">
        <v>3</v>
      </c>
      <c r="E144" t="s">
        <v>4</v>
      </c>
      <c r="F144" t="s">
        <v>5</v>
      </c>
      <c r="G144" s="2">
        <v>290</v>
      </c>
      <c r="H144" t="s">
        <v>6</v>
      </c>
      <c r="I144" s="6">
        <v>640.9</v>
      </c>
      <c r="K144" s="4">
        <f>Tabela1[[#This Row],[Estoque total]]-Tabela1[[#This Row],[Consumo]]</f>
        <v>290</v>
      </c>
      <c r="L144" s="7">
        <f>(Tabela1[[#This Row],[Valor total]]/Tabela1[[#This Row],[Estoque total]])*Tabela1[[#This Row],[Consumo]]</f>
        <v>0</v>
      </c>
    </row>
    <row r="145" spans="1:12" x14ac:dyDescent="0.25">
      <c r="A145" t="s">
        <v>288</v>
      </c>
      <c r="B145" t="s">
        <v>289</v>
      </c>
      <c r="C145" t="s">
        <v>2</v>
      </c>
      <c r="D145" t="s">
        <v>3</v>
      </c>
      <c r="E145" t="s">
        <v>4</v>
      </c>
      <c r="F145" t="s">
        <v>5</v>
      </c>
      <c r="G145" s="2">
        <v>19</v>
      </c>
      <c r="H145" t="s">
        <v>6</v>
      </c>
      <c r="I145" s="6">
        <v>54.15</v>
      </c>
      <c r="K145" s="4">
        <f>Tabela1[[#This Row],[Estoque total]]-Tabela1[[#This Row],[Consumo]]</f>
        <v>19</v>
      </c>
      <c r="L145" s="7">
        <f>(Tabela1[[#This Row],[Valor total]]/Tabela1[[#This Row],[Estoque total]])*Tabela1[[#This Row],[Consumo]]</f>
        <v>0</v>
      </c>
    </row>
    <row r="146" spans="1:12" x14ac:dyDescent="0.25">
      <c r="A146" t="s">
        <v>290</v>
      </c>
      <c r="B146" t="s">
        <v>291</v>
      </c>
      <c r="C146" t="s">
        <v>2</v>
      </c>
      <c r="D146" t="s">
        <v>3</v>
      </c>
      <c r="E146" t="s">
        <v>4</v>
      </c>
      <c r="F146" t="s">
        <v>5</v>
      </c>
      <c r="G146" s="2">
        <v>64</v>
      </c>
      <c r="H146" t="s">
        <v>6</v>
      </c>
      <c r="I146" s="6">
        <v>192</v>
      </c>
      <c r="K146" s="4">
        <f>Tabela1[[#This Row],[Estoque total]]-Tabela1[[#This Row],[Consumo]]</f>
        <v>64</v>
      </c>
      <c r="L146" s="7">
        <f>(Tabela1[[#This Row],[Valor total]]/Tabela1[[#This Row],[Estoque total]])*Tabela1[[#This Row],[Consumo]]</f>
        <v>0</v>
      </c>
    </row>
    <row r="147" spans="1:12" x14ac:dyDescent="0.25">
      <c r="A147" t="s">
        <v>292</v>
      </c>
      <c r="B147" t="s">
        <v>293</v>
      </c>
      <c r="C147" t="s">
        <v>2</v>
      </c>
      <c r="D147" t="s">
        <v>3</v>
      </c>
      <c r="E147" t="s">
        <v>4</v>
      </c>
      <c r="F147" t="s">
        <v>5</v>
      </c>
      <c r="G147" s="2">
        <v>362</v>
      </c>
      <c r="H147" t="s">
        <v>6</v>
      </c>
      <c r="I147" s="6">
        <v>419.92</v>
      </c>
      <c r="K147" s="4">
        <f>Tabela1[[#This Row],[Estoque total]]-Tabela1[[#This Row],[Consumo]]</f>
        <v>362</v>
      </c>
      <c r="L147" s="7">
        <f>(Tabela1[[#This Row],[Valor total]]/Tabela1[[#This Row],[Estoque total]])*Tabela1[[#This Row],[Consumo]]</f>
        <v>0</v>
      </c>
    </row>
    <row r="148" spans="1:12" x14ac:dyDescent="0.25">
      <c r="A148" t="s">
        <v>294</v>
      </c>
      <c r="B148" t="s">
        <v>295</v>
      </c>
      <c r="C148" t="s">
        <v>2</v>
      </c>
      <c r="D148" t="s">
        <v>3</v>
      </c>
      <c r="E148" t="s">
        <v>4</v>
      </c>
      <c r="F148" t="s">
        <v>5</v>
      </c>
      <c r="G148" s="2">
        <v>116</v>
      </c>
      <c r="H148" t="s">
        <v>6</v>
      </c>
      <c r="I148" s="6">
        <v>84.68</v>
      </c>
      <c r="K148" s="4">
        <f>Tabela1[[#This Row],[Estoque total]]-Tabela1[[#This Row],[Consumo]]</f>
        <v>116</v>
      </c>
      <c r="L148" s="7">
        <f>(Tabela1[[#This Row],[Valor total]]/Tabela1[[#This Row],[Estoque total]])*Tabela1[[#This Row],[Consumo]]</f>
        <v>0</v>
      </c>
    </row>
    <row r="149" spans="1:12" x14ac:dyDescent="0.25">
      <c r="A149" t="s">
        <v>296</v>
      </c>
      <c r="B149" t="s">
        <v>297</v>
      </c>
      <c r="C149" t="s">
        <v>2</v>
      </c>
      <c r="D149" t="s">
        <v>3</v>
      </c>
      <c r="E149" t="s">
        <v>4</v>
      </c>
      <c r="F149" t="s">
        <v>5</v>
      </c>
      <c r="G149" s="2">
        <v>77</v>
      </c>
      <c r="H149" t="s">
        <v>6</v>
      </c>
      <c r="I149" s="6">
        <v>61.82</v>
      </c>
      <c r="K149" s="4">
        <f>Tabela1[[#This Row],[Estoque total]]-Tabela1[[#This Row],[Consumo]]</f>
        <v>77</v>
      </c>
      <c r="L149" s="7">
        <f>(Tabela1[[#This Row],[Valor total]]/Tabela1[[#This Row],[Estoque total]])*Tabela1[[#This Row],[Consumo]]</f>
        <v>0</v>
      </c>
    </row>
    <row r="150" spans="1:12" x14ac:dyDescent="0.25">
      <c r="A150" t="s">
        <v>298</v>
      </c>
      <c r="B150" t="s">
        <v>299</v>
      </c>
      <c r="C150" t="s">
        <v>2</v>
      </c>
      <c r="D150" t="s">
        <v>3</v>
      </c>
      <c r="E150" t="s">
        <v>4</v>
      </c>
      <c r="F150" t="s">
        <v>5</v>
      </c>
      <c r="G150" s="2">
        <v>60</v>
      </c>
      <c r="H150" t="s">
        <v>6</v>
      </c>
      <c r="I150" s="6">
        <v>31.2</v>
      </c>
      <c r="J150">
        <v>9</v>
      </c>
      <c r="K150" s="4">
        <f>Tabela1[[#This Row],[Estoque total]]-Tabela1[[#This Row],[Consumo]]</f>
        <v>51</v>
      </c>
      <c r="L150" s="7">
        <f>(Tabela1[[#This Row],[Valor total]]/Tabela1[[#This Row],[Estoque total]])*Tabela1[[#This Row],[Consumo]]</f>
        <v>4.68</v>
      </c>
    </row>
    <row r="151" spans="1:12" x14ac:dyDescent="0.25">
      <c r="A151" t="s">
        <v>300</v>
      </c>
      <c r="B151" t="s">
        <v>301</v>
      </c>
      <c r="C151" t="s">
        <v>2</v>
      </c>
      <c r="D151" t="s">
        <v>3</v>
      </c>
      <c r="E151" t="s">
        <v>4</v>
      </c>
      <c r="F151" t="s">
        <v>5</v>
      </c>
      <c r="G151" s="2">
        <v>239</v>
      </c>
      <c r="H151" t="s">
        <v>6</v>
      </c>
      <c r="I151" s="6">
        <v>1328.84</v>
      </c>
      <c r="K151" s="4">
        <f>Tabela1[[#This Row],[Estoque total]]-Tabela1[[#This Row],[Consumo]]</f>
        <v>239</v>
      </c>
      <c r="L151" s="7">
        <f>(Tabela1[[#This Row],[Valor total]]/Tabela1[[#This Row],[Estoque total]])*Tabela1[[#This Row],[Consumo]]</f>
        <v>0</v>
      </c>
    </row>
    <row r="152" spans="1:12" x14ac:dyDescent="0.25">
      <c r="A152" t="s">
        <v>302</v>
      </c>
      <c r="B152" t="s">
        <v>303</v>
      </c>
      <c r="C152" t="s">
        <v>2</v>
      </c>
      <c r="D152" t="s">
        <v>3</v>
      </c>
      <c r="E152" t="s">
        <v>4</v>
      </c>
      <c r="F152" t="s">
        <v>5</v>
      </c>
      <c r="G152" s="2">
        <v>542</v>
      </c>
      <c r="H152" t="s">
        <v>6</v>
      </c>
      <c r="I152" s="6">
        <v>5691</v>
      </c>
      <c r="J152">
        <v>27</v>
      </c>
      <c r="K152" s="4">
        <f>Tabela1[[#This Row],[Estoque total]]-Tabela1[[#This Row],[Consumo]]</f>
        <v>515</v>
      </c>
      <c r="L152" s="7">
        <f>(Tabela1[[#This Row],[Valor total]]/Tabela1[[#This Row],[Estoque total]])*Tabela1[[#This Row],[Consumo]]</f>
        <v>283.5</v>
      </c>
    </row>
    <row r="153" spans="1:12" x14ac:dyDescent="0.25">
      <c r="A153" t="s">
        <v>304</v>
      </c>
      <c r="B153" t="s">
        <v>305</v>
      </c>
      <c r="C153" t="s">
        <v>2</v>
      </c>
      <c r="D153" t="s">
        <v>3</v>
      </c>
      <c r="E153" t="s">
        <v>4</v>
      </c>
      <c r="F153" t="s">
        <v>5</v>
      </c>
      <c r="G153" s="2">
        <v>86</v>
      </c>
      <c r="H153" t="s">
        <v>6</v>
      </c>
      <c r="I153" s="6">
        <v>684.88</v>
      </c>
      <c r="K153" s="4">
        <f>Tabela1[[#This Row],[Estoque total]]-Tabela1[[#This Row],[Consumo]]</f>
        <v>86</v>
      </c>
      <c r="L153" s="7">
        <f>(Tabela1[[#This Row],[Valor total]]/Tabela1[[#This Row],[Estoque total]])*Tabela1[[#This Row],[Consumo]]</f>
        <v>0</v>
      </c>
    </row>
    <row r="154" spans="1:12" x14ac:dyDescent="0.25">
      <c r="A154" t="s">
        <v>306</v>
      </c>
      <c r="B154" t="s">
        <v>307</v>
      </c>
      <c r="C154" t="s">
        <v>2</v>
      </c>
      <c r="D154" t="s">
        <v>3</v>
      </c>
      <c r="E154" t="s">
        <v>4</v>
      </c>
      <c r="F154" t="s">
        <v>5</v>
      </c>
      <c r="G154" s="2">
        <v>389</v>
      </c>
      <c r="H154" t="s">
        <v>6</v>
      </c>
      <c r="I154" s="6">
        <v>3073.1</v>
      </c>
      <c r="K154" s="4">
        <f>Tabela1[[#This Row],[Estoque total]]-Tabela1[[#This Row],[Consumo]]</f>
        <v>389</v>
      </c>
      <c r="L154" s="7">
        <f>(Tabela1[[#This Row],[Valor total]]/Tabela1[[#This Row],[Estoque total]])*Tabela1[[#This Row],[Consumo]]</f>
        <v>0</v>
      </c>
    </row>
    <row r="155" spans="1:12" x14ac:dyDescent="0.25">
      <c r="A155" t="s">
        <v>308</v>
      </c>
      <c r="B155" t="s">
        <v>309</v>
      </c>
      <c r="C155" t="s">
        <v>2</v>
      </c>
      <c r="D155" t="s">
        <v>3</v>
      </c>
      <c r="E155" t="s">
        <v>4</v>
      </c>
      <c r="F155" t="s">
        <v>5</v>
      </c>
      <c r="G155" s="2">
        <v>400</v>
      </c>
      <c r="H155" t="s">
        <v>6</v>
      </c>
      <c r="I155" s="6">
        <v>2220</v>
      </c>
      <c r="K155" s="4">
        <f>Tabela1[[#This Row],[Estoque total]]-Tabela1[[#This Row],[Consumo]]</f>
        <v>400</v>
      </c>
      <c r="L155" s="7">
        <f>(Tabela1[[#This Row],[Valor total]]/Tabela1[[#This Row],[Estoque total]])*Tabela1[[#This Row],[Consumo]]</f>
        <v>0</v>
      </c>
    </row>
    <row r="156" spans="1:12" x14ac:dyDescent="0.25">
      <c r="A156" t="s">
        <v>310</v>
      </c>
      <c r="B156" t="s">
        <v>311</v>
      </c>
      <c r="C156" t="s">
        <v>2</v>
      </c>
      <c r="D156" t="s">
        <v>3</v>
      </c>
      <c r="E156" t="s">
        <v>4</v>
      </c>
      <c r="F156" t="s">
        <v>5</v>
      </c>
      <c r="G156" s="2">
        <v>144</v>
      </c>
      <c r="H156" t="s">
        <v>6</v>
      </c>
      <c r="I156" s="6">
        <v>810.72</v>
      </c>
      <c r="K156" s="4">
        <f>Tabela1[[#This Row],[Estoque total]]-Tabela1[[#This Row],[Consumo]]</f>
        <v>144</v>
      </c>
      <c r="L156" s="7">
        <f>(Tabela1[[#This Row],[Valor total]]/Tabela1[[#This Row],[Estoque total]])*Tabela1[[#This Row],[Consumo]]</f>
        <v>0</v>
      </c>
    </row>
    <row r="157" spans="1:12" x14ac:dyDescent="0.25">
      <c r="A157" t="s">
        <v>312</v>
      </c>
      <c r="B157" t="s">
        <v>313</v>
      </c>
      <c r="C157" t="s">
        <v>2</v>
      </c>
      <c r="D157" t="s">
        <v>3</v>
      </c>
      <c r="E157" t="s">
        <v>4</v>
      </c>
      <c r="F157" t="s">
        <v>5</v>
      </c>
      <c r="G157" s="2">
        <v>1</v>
      </c>
      <c r="H157" t="s">
        <v>6</v>
      </c>
      <c r="I157" s="6">
        <v>93.44</v>
      </c>
      <c r="K157" s="4">
        <f>Tabela1[[#This Row],[Estoque total]]-Tabela1[[#This Row],[Consumo]]</f>
        <v>1</v>
      </c>
      <c r="L157" s="7">
        <f>(Tabela1[[#This Row],[Valor total]]/Tabela1[[#This Row],[Estoque total]])*Tabela1[[#This Row],[Consumo]]</f>
        <v>0</v>
      </c>
    </row>
    <row r="158" spans="1:12" x14ac:dyDescent="0.25">
      <c r="A158" t="s">
        <v>314</v>
      </c>
      <c r="B158" t="s">
        <v>315</v>
      </c>
      <c r="C158" t="s">
        <v>2</v>
      </c>
      <c r="D158" t="s">
        <v>3</v>
      </c>
      <c r="E158" t="s">
        <v>4</v>
      </c>
      <c r="F158" t="s">
        <v>19</v>
      </c>
      <c r="G158" s="2">
        <v>2</v>
      </c>
      <c r="H158" t="s">
        <v>6</v>
      </c>
      <c r="I158" s="6">
        <v>292.08</v>
      </c>
      <c r="K158" s="4">
        <f>Tabela1[[#This Row],[Estoque total]]-Tabela1[[#This Row],[Consumo]]</f>
        <v>2</v>
      </c>
      <c r="L158" s="7">
        <f>(Tabela1[[#This Row],[Valor total]]/Tabela1[[#This Row],[Estoque total]])*Tabela1[[#This Row],[Consumo]]</f>
        <v>0</v>
      </c>
    </row>
    <row r="159" spans="1:12" x14ac:dyDescent="0.25">
      <c r="A159" t="s">
        <v>316</v>
      </c>
      <c r="B159" t="s">
        <v>317</v>
      </c>
      <c r="C159" t="s">
        <v>2</v>
      </c>
      <c r="D159" t="s">
        <v>3</v>
      </c>
      <c r="E159" t="s">
        <v>4</v>
      </c>
      <c r="F159" t="s">
        <v>5</v>
      </c>
      <c r="G159" s="2">
        <v>12</v>
      </c>
      <c r="H159" t="s">
        <v>6</v>
      </c>
      <c r="I159" s="6">
        <v>1098.5999999999999</v>
      </c>
      <c r="K159" s="4">
        <f>Tabela1[[#This Row],[Estoque total]]-Tabela1[[#This Row],[Consumo]]</f>
        <v>12</v>
      </c>
      <c r="L159" s="7">
        <f>(Tabela1[[#This Row],[Valor total]]/Tabela1[[#This Row],[Estoque total]])*Tabela1[[#This Row],[Consumo]]</f>
        <v>0</v>
      </c>
    </row>
    <row r="160" spans="1:12" x14ac:dyDescent="0.25">
      <c r="A160" t="s">
        <v>318</v>
      </c>
      <c r="B160" t="s">
        <v>319</v>
      </c>
      <c r="C160" t="s">
        <v>2</v>
      </c>
      <c r="D160" t="s">
        <v>3</v>
      </c>
      <c r="E160" t="s">
        <v>4</v>
      </c>
      <c r="F160" t="s">
        <v>5</v>
      </c>
      <c r="G160" s="2">
        <v>12</v>
      </c>
      <c r="H160" t="s">
        <v>6</v>
      </c>
      <c r="I160" s="6">
        <v>358.2</v>
      </c>
      <c r="K160" s="4">
        <f>Tabela1[[#This Row],[Estoque total]]-Tabela1[[#This Row],[Consumo]]</f>
        <v>12</v>
      </c>
      <c r="L160" s="7">
        <f>(Tabela1[[#This Row],[Valor total]]/Tabela1[[#This Row],[Estoque total]])*Tabela1[[#This Row],[Consumo]]</f>
        <v>0</v>
      </c>
    </row>
    <row r="161" spans="1:12" x14ac:dyDescent="0.25">
      <c r="A161" t="s">
        <v>320</v>
      </c>
      <c r="B161" t="s">
        <v>321</v>
      </c>
      <c r="C161" t="s">
        <v>2</v>
      </c>
      <c r="D161" t="s">
        <v>3</v>
      </c>
      <c r="E161" t="s">
        <v>4</v>
      </c>
      <c r="F161" t="s">
        <v>5</v>
      </c>
      <c r="G161" s="2">
        <v>20</v>
      </c>
      <c r="H161" t="s">
        <v>6</v>
      </c>
      <c r="I161" s="6">
        <v>1764</v>
      </c>
      <c r="J161">
        <v>9</v>
      </c>
      <c r="K161" s="4">
        <f>Tabela1[[#This Row],[Estoque total]]-Tabela1[[#This Row],[Consumo]]</f>
        <v>11</v>
      </c>
      <c r="L161" s="7">
        <f>(Tabela1[[#This Row],[Valor total]]/Tabela1[[#This Row],[Estoque total]])*Tabela1[[#This Row],[Consumo]]</f>
        <v>793.80000000000007</v>
      </c>
    </row>
    <row r="162" spans="1:12" x14ac:dyDescent="0.25">
      <c r="A162" t="s">
        <v>322</v>
      </c>
      <c r="B162" t="s">
        <v>323</v>
      </c>
      <c r="C162" t="s">
        <v>2</v>
      </c>
      <c r="D162" t="s">
        <v>3</v>
      </c>
      <c r="E162" t="s">
        <v>4</v>
      </c>
      <c r="F162" t="s">
        <v>19</v>
      </c>
      <c r="G162" s="2">
        <v>100</v>
      </c>
      <c r="H162" t="s">
        <v>6</v>
      </c>
      <c r="I162" s="6">
        <v>1.46</v>
      </c>
      <c r="K162" s="4">
        <f>Tabela1[[#This Row],[Estoque total]]-Tabela1[[#This Row],[Consumo]]</f>
        <v>100</v>
      </c>
      <c r="L162" s="7">
        <f>(Tabela1[[#This Row],[Valor total]]/Tabela1[[#This Row],[Estoque total]])*Tabela1[[#This Row],[Consumo]]</f>
        <v>0</v>
      </c>
    </row>
    <row r="163" spans="1:12" x14ac:dyDescent="0.25">
      <c r="A163" t="s">
        <v>324</v>
      </c>
      <c r="B163" t="s">
        <v>325</v>
      </c>
      <c r="C163" t="s">
        <v>2</v>
      </c>
      <c r="D163" t="s">
        <v>3</v>
      </c>
      <c r="E163" t="s">
        <v>4</v>
      </c>
      <c r="F163" t="s">
        <v>5</v>
      </c>
      <c r="G163" s="2">
        <v>1190</v>
      </c>
      <c r="H163" t="s">
        <v>6</v>
      </c>
      <c r="I163" s="6">
        <v>1606.5</v>
      </c>
      <c r="J163">
        <v>108</v>
      </c>
      <c r="K163" s="4">
        <f>Tabela1[[#This Row],[Estoque total]]-Tabela1[[#This Row],[Consumo]]</f>
        <v>1082</v>
      </c>
      <c r="L163" s="7">
        <f>(Tabela1[[#This Row],[Valor total]]/Tabela1[[#This Row],[Estoque total]])*Tabela1[[#This Row],[Consumo]]</f>
        <v>145.80000000000001</v>
      </c>
    </row>
    <row r="164" spans="1:12" x14ac:dyDescent="0.25">
      <c r="A164" t="s">
        <v>326</v>
      </c>
      <c r="B164" t="s">
        <v>327</v>
      </c>
      <c r="C164" t="s">
        <v>2</v>
      </c>
      <c r="D164" t="s">
        <v>3</v>
      </c>
      <c r="E164" t="s">
        <v>4</v>
      </c>
      <c r="F164" t="s">
        <v>5</v>
      </c>
      <c r="G164" s="2">
        <v>24</v>
      </c>
      <c r="H164" t="s">
        <v>6</v>
      </c>
      <c r="I164" s="6">
        <v>83.52</v>
      </c>
      <c r="K164" s="4">
        <f>Tabela1[[#This Row],[Estoque total]]-Tabela1[[#This Row],[Consumo]]</f>
        <v>24</v>
      </c>
      <c r="L164" s="7">
        <f>(Tabela1[[#This Row],[Valor total]]/Tabela1[[#This Row],[Estoque total]])*Tabela1[[#This Row],[Consumo]]</f>
        <v>0</v>
      </c>
    </row>
    <row r="165" spans="1:12" x14ac:dyDescent="0.25">
      <c r="A165" t="s">
        <v>328</v>
      </c>
      <c r="B165" t="s">
        <v>329</v>
      </c>
      <c r="C165" t="s">
        <v>2</v>
      </c>
      <c r="D165" t="s">
        <v>3</v>
      </c>
      <c r="E165" t="s">
        <v>4</v>
      </c>
      <c r="F165" t="s">
        <v>5</v>
      </c>
      <c r="G165" s="2">
        <v>6</v>
      </c>
      <c r="H165" t="s">
        <v>6</v>
      </c>
      <c r="I165" s="6">
        <v>147.54</v>
      </c>
      <c r="K165" s="4">
        <f>Tabela1[[#This Row],[Estoque total]]-Tabela1[[#This Row],[Consumo]]</f>
        <v>6</v>
      </c>
      <c r="L165" s="7">
        <f>(Tabela1[[#This Row],[Valor total]]/Tabela1[[#This Row],[Estoque total]])*Tabela1[[#This Row],[Consumo]]</f>
        <v>0</v>
      </c>
    </row>
    <row r="166" spans="1:12" x14ac:dyDescent="0.25">
      <c r="A166" t="s">
        <v>330</v>
      </c>
      <c r="B166" t="s">
        <v>331</v>
      </c>
      <c r="C166" t="s">
        <v>2</v>
      </c>
      <c r="D166" t="s">
        <v>3</v>
      </c>
      <c r="E166" t="s">
        <v>4</v>
      </c>
      <c r="F166" t="s">
        <v>5</v>
      </c>
      <c r="G166" s="2">
        <v>52</v>
      </c>
      <c r="H166" t="s">
        <v>6</v>
      </c>
      <c r="I166" s="6">
        <v>3016</v>
      </c>
      <c r="K166" s="4">
        <f>Tabela1[[#This Row],[Estoque total]]-Tabela1[[#This Row],[Consumo]]</f>
        <v>52</v>
      </c>
      <c r="L166" s="7">
        <f>(Tabela1[[#This Row],[Valor total]]/Tabela1[[#This Row],[Estoque total]])*Tabela1[[#This Row],[Consumo]]</f>
        <v>0</v>
      </c>
    </row>
    <row r="167" spans="1:12" x14ac:dyDescent="0.25">
      <c r="A167" t="s">
        <v>332</v>
      </c>
      <c r="B167" t="s">
        <v>333</v>
      </c>
      <c r="C167" t="s">
        <v>2</v>
      </c>
      <c r="D167" t="s">
        <v>3</v>
      </c>
      <c r="E167" t="s">
        <v>4</v>
      </c>
      <c r="F167" t="s">
        <v>5</v>
      </c>
      <c r="G167" s="2">
        <v>1</v>
      </c>
      <c r="H167" t="s">
        <v>6</v>
      </c>
      <c r="I167" s="6">
        <v>148.1</v>
      </c>
      <c r="K167" s="4">
        <f>Tabela1[[#This Row],[Estoque total]]-Tabela1[[#This Row],[Consumo]]</f>
        <v>1</v>
      </c>
      <c r="L167" s="7">
        <f>(Tabela1[[#This Row],[Valor total]]/Tabela1[[#This Row],[Estoque total]])*Tabela1[[#This Row],[Consumo]]</f>
        <v>0</v>
      </c>
    </row>
    <row r="168" spans="1:12" x14ac:dyDescent="0.25">
      <c r="A168" t="s">
        <v>334</v>
      </c>
      <c r="B168" t="s">
        <v>335</v>
      </c>
      <c r="C168" t="s">
        <v>2</v>
      </c>
      <c r="D168" t="s">
        <v>3</v>
      </c>
      <c r="E168" t="s">
        <v>4</v>
      </c>
      <c r="F168" t="s">
        <v>19</v>
      </c>
      <c r="G168" s="2">
        <v>1</v>
      </c>
      <c r="H168" t="s">
        <v>6</v>
      </c>
      <c r="I168" s="6">
        <v>1.3</v>
      </c>
      <c r="K168" s="4">
        <f>Tabela1[[#This Row],[Estoque total]]-Tabela1[[#This Row],[Consumo]]</f>
        <v>1</v>
      </c>
      <c r="L168" s="7">
        <f>(Tabela1[[#This Row],[Valor total]]/Tabela1[[#This Row],[Estoque total]])*Tabela1[[#This Row],[Consumo]]</f>
        <v>0</v>
      </c>
    </row>
    <row r="169" spans="1:12" x14ac:dyDescent="0.25">
      <c r="A169" t="s">
        <v>336</v>
      </c>
      <c r="B169" t="s">
        <v>337</v>
      </c>
      <c r="C169" t="s">
        <v>2</v>
      </c>
      <c r="D169" t="s">
        <v>3</v>
      </c>
      <c r="E169" t="s">
        <v>4</v>
      </c>
      <c r="F169" t="s">
        <v>5</v>
      </c>
      <c r="G169" s="2">
        <v>28</v>
      </c>
      <c r="H169" t="s">
        <v>6</v>
      </c>
      <c r="I169" s="6">
        <v>411.88</v>
      </c>
      <c r="J169">
        <v>18</v>
      </c>
      <c r="K169" s="4">
        <f>Tabela1[[#This Row],[Estoque total]]-Tabela1[[#This Row],[Consumo]]</f>
        <v>10</v>
      </c>
      <c r="L169" s="7">
        <f>(Tabela1[[#This Row],[Valor total]]/Tabela1[[#This Row],[Estoque total]])*Tabela1[[#This Row],[Consumo]]</f>
        <v>264.77999999999997</v>
      </c>
    </row>
    <row r="170" spans="1:12" x14ac:dyDescent="0.25">
      <c r="A170" t="s">
        <v>338</v>
      </c>
      <c r="B170" t="s">
        <v>339</v>
      </c>
      <c r="C170" t="s">
        <v>2</v>
      </c>
      <c r="D170" t="s">
        <v>3</v>
      </c>
      <c r="E170" t="s">
        <v>4</v>
      </c>
      <c r="F170" t="s">
        <v>5</v>
      </c>
      <c r="G170" s="2">
        <v>95</v>
      </c>
      <c r="H170" t="s">
        <v>6</v>
      </c>
      <c r="I170" s="6">
        <v>5690.39</v>
      </c>
      <c r="K170" s="4">
        <f>Tabela1[[#This Row],[Estoque total]]-Tabela1[[#This Row],[Consumo]]</f>
        <v>95</v>
      </c>
      <c r="L170" s="7">
        <f>(Tabela1[[#This Row],[Valor total]]/Tabela1[[#This Row],[Estoque total]])*Tabela1[[#This Row],[Consumo]]</f>
        <v>0</v>
      </c>
    </row>
    <row r="171" spans="1:12" x14ac:dyDescent="0.25">
      <c r="A171" t="s">
        <v>340</v>
      </c>
      <c r="B171" t="s">
        <v>341</v>
      </c>
      <c r="C171" t="s">
        <v>2</v>
      </c>
      <c r="D171" t="s">
        <v>3</v>
      </c>
      <c r="E171" t="s">
        <v>4</v>
      </c>
      <c r="F171" t="s">
        <v>5</v>
      </c>
      <c r="G171" s="2">
        <v>38</v>
      </c>
      <c r="H171" t="s">
        <v>6</v>
      </c>
      <c r="I171" s="6">
        <v>2837.58</v>
      </c>
      <c r="K171" s="4">
        <f>Tabela1[[#This Row],[Estoque total]]-Tabela1[[#This Row],[Consumo]]</f>
        <v>38</v>
      </c>
      <c r="L171" s="7">
        <f>(Tabela1[[#This Row],[Valor total]]/Tabela1[[#This Row],[Estoque total]])*Tabela1[[#This Row],[Consumo]]</f>
        <v>0</v>
      </c>
    </row>
    <row r="172" spans="1:12" x14ac:dyDescent="0.25">
      <c r="A172" t="s">
        <v>342</v>
      </c>
      <c r="B172" t="s">
        <v>343</v>
      </c>
      <c r="C172" t="s">
        <v>2</v>
      </c>
      <c r="D172" t="s">
        <v>3</v>
      </c>
      <c r="E172" t="s">
        <v>4</v>
      </c>
      <c r="F172" t="s">
        <v>5</v>
      </c>
      <c r="G172" s="2">
        <v>90</v>
      </c>
      <c r="H172" t="s">
        <v>6</v>
      </c>
      <c r="I172" s="6">
        <v>410.4</v>
      </c>
      <c r="K172" s="4">
        <f>Tabela1[[#This Row],[Estoque total]]-Tabela1[[#This Row],[Consumo]]</f>
        <v>90</v>
      </c>
      <c r="L172" s="7">
        <f>(Tabela1[[#This Row],[Valor total]]/Tabela1[[#This Row],[Estoque total]])*Tabela1[[#This Row],[Consumo]]</f>
        <v>0</v>
      </c>
    </row>
    <row r="173" spans="1:12" x14ac:dyDescent="0.25">
      <c r="A173" t="s">
        <v>344</v>
      </c>
      <c r="B173" t="s">
        <v>345</v>
      </c>
      <c r="C173" t="s">
        <v>2</v>
      </c>
      <c r="D173" t="s">
        <v>3</v>
      </c>
      <c r="E173" t="s">
        <v>4</v>
      </c>
      <c r="F173" t="s">
        <v>5</v>
      </c>
      <c r="G173" s="2">
        <v>39</v>
      </c>
      <c r="H173" t="s">
        <v>6</v>
      </c>
      <c r="I173" s="6">
        <v>164.58</v>
      </c>
      <c r="K173" s="4">
        <f>Tabela1[[#This Row],[Estoque total]]-Tabela1[[#This Row],[Consumo]]</f>
        <v>39</v>
      </c>
      <c r="L173" s="7">
        <f>(Tabela1[[#This Row],[Valor total]]/Tabela1[[#This Row],[Estoque total]])*Tabela1[[#This Row],[Consumo]]</f>
        <v>0</v>
      </c>
    </row>
    <row r="174" spans="1:12" x14ac:dyDescent="0.25">
      <c r="A174" t="s">
        <v>346</v>
      </c>
      <c r="B174" t="s">
        <v>347</v>
      </c>
      <c r="C174" t="s">
        <v>2</v>
      </c>
      <c r="D174" t="s">
        <v>3</v>
      </c>
      <c r="E174" t="s">
        <v>4</v>
      </c>
      <c r="F174" t="s">
        <v>5</v>
      </c>
      <c r="G174" s="2">
        <v>58</v>
      </c>
      <c r="H174" t="s">
        <v>6</v>
      </c>
      <c r="I174" s="6">
        <v>1814.82</v>
      </c>
      <c r="K174" s="4">
        <f>Tabela1[[#This Row],[Estoque total]]-Tabela1[[#This Row],[Consumo]]</f>
        <v>58</v>
      </c>
      <c r="L174" s="7">
        <f>(Tabela1[[#This Row],[Valor total]]/Tabela1[[#This Row],[Estoque total]])*Tabela1[[#This Row],[Consumo]]</f>
        <v>0</v>
      </c>
    </row>
    <row r="175" spans="1:12" x14ac:dyDescent="0.25">
      <c r="A175" t="s">
        <v>348</v>
      </c>
      <c r="B175" t="s">
        <v>349</v>
      </c>
      <c r="C175" t="s">
        <v>2</v>
      </c>
      <c r="D175" t="s">
        <v>3</v>
      </c>
      <c r="E175" t="s">
        <v>4</v>
      </c>
      <c r="F175" t="s">
        <v>5</v>
      </c>
      <c r="G175" s="2">
        <v>29</v>
      </c>
      <c r="H175" t="s">
        <v>6</v>
      </c>
      <c r="I175" s="6">
        <v>176.61</v>
      </c>
      <c r="K175" s="4">
        <f>Tabela1[[#This Row],[Estoque total]]-Tabela1[[#This Row],[Consumo]]</f>
        <v>29</v>
      </c>
      <c r="L175" s="7">
        <f>(Tabela1[[#This Row],[Valor total]]/Tabela1[[#This Row],[Estoque total]])*Tabela1[[#This Row],[Consumo]]</f>
        <v>0</v>
      </c>
    </row>
    <row r="176" spans="1:12" x14ac:dyDescent="0.25">
      <c r="A176" t="s">
        <v>350</v>
      </c>
      <c r="B176" t="s">
        <v>351</v>
      </c>
      <c r="C176" t="s">
        <v>2</v>
      </c>
      <c r="D176" t="s">
        <v>3</v>
      </c>
      <c r="E176" t="s">
        <v>4</v>
      </c>
      <c r="F176" t="s">
        <v>5</v>
      </c>
      <c r="G176" s="2">
        <v>322</v>
      </c>
      <c r="H176" t="s">
        <v>6</v>
      </c>
      <c r="I176" s="6">
        <v>704.35</v>
      </c>
      <c r="K176" s="4">
        <f>Tabela1[[#This Row],[Estoque total]]-Tabela1[[#This Row],[Consumo]]</f>
        <v>322</v>
      </c>
      <c r="L176" s="7">
        <f>(Tabela1[[#This Row],[Valor total]]/Tabela1[[#This Row],[Estoque total]])*Tabela1[[#This Row],[Consumo]]</f>
        <v>0</v>
      </c>
    </row>
    <row r="177" spans="1:12" x14ac:dyDescent="0.25">
      <c r="A177" t="s">
        <v>352</v>
      </c>
      <c r="B177" t="s">
        <v>353</v>
      </c>
      <c r="C177" t="s">
        <v>2</v>
      </c>
      <c r="D177" t="s">
        <v>3</v>
      </c>
      <c r="E177" t="s">
        <v>4</v>
      </c>
      <c r="F177" t="s">
        <v>5</v>
      </c>
      <c r="G177" s="2">
        <v>305</v>
      </c>
      <c r="H177" t="s">
        <v>6</v>
      </c>
      <c r="I177" s="6">
        <v>684.62</v>
      </c>
      <c r="K177" s="4">
        <f>Tabela1[[#This Row],[Estoque total]]-Tabela1[[#This Row],[Consumo]]</f>
        <v>305</v>
      </c>
      <c r="L177" s="7">
        <f>(Tabela1[[#This Row],[Valor total]]/Tabela1[[#This Row],[Estoque total]])*Tabela1[[#This Row],[Consumo]]</f>
        <v>0</v>
      </c>
    </row>
    <row r="178" spans="1:12" x14ac:dyDescent="0.25">
      <c r="A178" t="s">
        <v>354</v>
      </c>
      <c r="B178" t="s">
        <v>355</v>
      </c>
      <c r="C178" t="s">
        <v>2</v>
      </c>
      <c r="D178" t="s">
        <v>3</v>
      </c>
      <c r="E178" t="s">
        <v>4</v>
      </c>
      <c r="F178" t="s">
        <v>5</v>
      </c>
      <c r="G178" s="2">
        <v>361</v>
      </c>
      <c r="H178" t="s">
        <v>6</v>
      </c>
      <c r="I178" s="6">
        <v>731.74</v>
      </c>
      <c r="K178" s="4">
        <f>Tabela1[[#This Row],[Estoque total]]-Tabela1[[#This Row],[Consumo]]</f>
        <v>361</v>
      </c>
      <c r="L178" s="7">
        <f>(Tabela1[[#This Row],[Valor total]]/Tabela1[[#This Row],[Estoque total]])*Tabela1[[#This Row],[Consumo]]</f>
        <v>0</v>
      </c>
    </row>
    <row r="179" spans="1:12" x14ac:dyDescent="0.25">
      <c r="A179" t="s">
        <v>356</v>
      </c>
      <c r="B179" t="s">
        <v>357</v>
      </c>
      <c r="C179" t="s">
        <v>2</v>
      </c>
      <c r="D179" t="s">
        <v>3</v>
      </c>
      <c r="E179" t="s">
        <v>4</v>
      </c>
      <c r="F179" t="s">
        <v>5</v>
      </c>
      <c r="G179" s="2">
        <v>103</v>
      </c>
      <c r="H179" t="s">
        <v>6</v>
      </c>
      <c r="I179" s="6">
        <v>230.7</v>
      </c>
      <c r="K179" s="4">
        <f>Tabela1[[#This Row],[Estoque total]]-Tabela1[[#This Row],[Consumo]]</f>
        <v>103</v>
      </c>
      <c r="L179" s="7">
        <f>(Tabela1[[#This Row],[Valor total]]/Tabela1[[#This Row],[Estoque total]])*Tabela1[[#This Row],[Consumo]]</f>
        <v>0</v>
      </c>
    </row>
    <row r="180" spans="1:12" x14ac:dyDescent="0.25">
      <c r="A180" t="s">
        <v>358</v>
      </c>
      <c r="B180" t="s">
        <v>359</v>
      </c>
      <c r="C180" t="s">
        <v>2</v>
      </c>
      <c r="D180" t="s">
        <v>3</v>
      </c>
      <c r="E180" t="s">
        <v>4</v>
      </c>
      <c r="F180" t="s">
        <v>5</v>
      </c>
      <c r="G180" s="2">
        <v>258</v>
      </c>
      <c r="H180" t="s">
        <v>6</v>
      </c>
      <c r="I180" s="6">
        <v>436.02</v>
      </c>
      <c r="K180" s="4">
        <f>Tabela1[[#This Row],[Estoque total]]-Tabela1[[#This Row],[Consumo]]</f>
        <v>258</v>
      </c>
      <c r="L180" s="7">
        <f>(Tabela1[[#This Row],[Valor total]]/Tabela1[[#This Row],[Estoque total]])*Tabela1[[#This Row],[Consumo]]</f>
        <v>0</v>
      </c>
    </row>
    <row r="181" spans="1:12" x14ac:dyDescent="0.25">
      <c r="A181" t="s">
        <v>360</v>
      </c>
      <c r="B181" t="s">
        <v>361</v>
      </c>
      <c r="C181" t="s">
        <v>2</v>
      </c>
      <c r="D181" t="s">
        <v>3</v>
      </c>
      <c r="E181" t="s">
        <v>4</v>
      </c>
      <c r="F181" t="s">
        <v>5</v>
      </c>
      <c r="G181" s="2">
        <v>536</v>
      </c>
      <c r="H181" t="s">
        <v>6</v>
      </c>
      <c r="I181" s="6">
        <v>986.24</v>
      </c>
      <c r="K181" s="4">
        <f>Tabela1[[#This Row],[Estoque total]]-Tabela1[[#This Row],[Consumo]]</f>
        <v>536</v>
      </c>
      <c r="L181" s="7">
        <f>(Tabela1[[#This Row],[Valor total]]/Tabela1[[#This Row],[Estoque total]])*Tabela1[[#This Row],[Consumo]]</f>
        <v>0</v>
      </c>
    </row>
    <row r="182" spans="1:12" x14ac:dyDescent="0.25">
      <c r="A182" t="s">
        <v>362</v>
      </c>
      <c r="B182" t="s">
        <v>363</v>
      </c>
      <c r="C182" t="s">
        <v>2</v>
      </c>
      <c r="D182" t="s">
        <v>3</v>
      </c>
      <c r="E182" t="s">
        <v>4</v>
      </c>
      <c r="F182" t="s">
        <v>5</v>
      </c>
      <c r="G182" s="2">
        <v>329</v>
      </c>
      <c r="H182" t="s">
        <v>6</v>
      </c>
      <c r="I182" s="6">
        <v>1955.9</v>
      </c>
      <c r="K182" s="4">
        <f>Tabela1[[#This Row],[Estoque total]]-Tabela1[[#This Row],[Consumo]]</f>
        <v>329</v>
      </c>
      <c r="L182" s="7">
        <f>(Tabela1[[#This Row],[Valor total]]/Tabela1[[#This Row],[Estoque total]])*Tabela1[[#This Row],[Consumo]]</f>
        <v>0</v>
      </c>
    </row>
    <row r="183" spans="1:12" x14ac:dyDescent="0.25">
      <c r="A183" t="s">
        <v>364</v>
      </c>
      <c r="B183" t="s">
        <v>365</v>
      </c>
      <c r="C183" t="s">
        <v>2</v>
      </c>
      <c r="D183" t="s">
        <v>3</v>
      </c>
      <c r="E183" t="s">
        <v>4</v>
      </c>
      <c r="F183" t="s">
        <v>19</v>
      </c>
      <c r="G183" s="2">
        <v>144</v>
      </c>
      <c r="H183" t="s">
        <v>6</v>
      </c>
      <c r="I183" s="6">
        <v>554.4</v>
      </c>
      <c r="K183" s="4">
        <f>Tabela1[[#This Row],[Estoque total]]-Tabela1[[#This Row],[Consumo]]</f>
        <v>144</v>
      </c>
      <c r="L183" s="7">
        <f>(Tabela1[[#This Row],[Valor total]]/Tabela1[[#This Row],[Estoque total]])*Tabela1[[#This Row],[Consumo]]</f>
        <v>0</v>
      </c>
    </row>
    <row r="184" spans="1:12" x14ac:dyDescent="0.25">
      <c r="A184" t="s">
        <v>364</v>
      </c>
      <c r="B184" t="s">
        <v>365</v>
      </c>
      <c r="C184" t="s">
        <v>2</v>
      </c>
      <c r="D184" t="s">
        <v>3</v>
      </c>
      <c r="E184" t="s">
        <v>4</v>
      </c>
      <c r="F184" t="s">
        <v>5</v>
      </c>
      <c r="G184" s="2">
        <v>1800</v>
      </c>
      <c r="H184" t="s">
        <v>6</v>
      </c>
      <c r="I184" s="6">
        <v>3294</v>
      </c>
      <c r="J184">
        <v>9</v>
      </c>
      <c r="K184" s="4">
        <f>Tabela1[[#This Row],[Estoque total]]-Tabela1[[#This Row],[Consumo]]</f>
        <v>1791</v>
      </c>
      <c r="L184" s="7">
        <f>(Tabela1[[#This Row],[Valor total]]/Tabela1[[#This Row],[Estoque total]])*Tabela1[[#This Row],[Consumo]]</f>
        <v>16.47</v>
      </c>
    </row>
    <row r="185" spans="1:12" x14ac:dyDescent="0.25">
      <c r="A185" t="s">
        <v>366</v>
      </c>
      <c r="B185" t="s">
        <v>367</v>
      </c>
      <c r="C185" t="s">
        <v>2</v>
      </c>
      <c r="D185" t="s">
        <v>3</v>
      </c>
      <c r="E185" t="s">
        <v>4</v>
      </c>
      <c r="F185" t="s">
        <v>5</v>
      </c>
      <c r="G185" s="2">
        <v>58</v>
      </c>
      <c r="H185" t="s">
        <v>6</v>
      </c>
      <c r="I185" s="6">
        <v>275.5</v>
      </c>
      <c r="K185" s="4">
        <f>Tabela1[[#This Row],[Estoque total]]-Tabela1[[#This Row],[Consumo]]</f>
        <v>58</v>
      </c>
      <c r="L185" s="7">
        <f>(Tabela1[[#This Row],[Valor total]]/Tabela1[[#This Row],[Estoque total]])*Tabela1[[#This Row],[Consumo]]</f>
        <v>0</v>
      </c>
    </row>
    <row r="186" spans="1:12" x14ac:dyDescent="0.25">
      <c r="A186" t="s">
        <v>368</v>
      </c>
      <c r="B186" t="s">
        <v>369</v>
      </c>
      <c r="C186" t="s">
        <v>2</v>
      </c>
      <c r="D186" t="s">
        <v>3</v>
      </c>
      <c r="E186" t="s">
        <v>4</v>
      </c>
      <c r="F186" t="s">
        <v>5</v>
      </c>
      <c r="G186" s="2">
        <v>9</v>
      </c>
      <c r="H186" t="s">
        <v>6</v>
      </c>
      <c r="I186" s="6">
        <v>74.16</v>
      </c>
      <c r="K186" s="4">
        <f>Tabela1[[#This Row],[Estoque total]]-Tabela1[[#This Row],[Consumo]]</f>
        <v>9</v>
      </c>
      <c r="L186" s="7">
        <f>(Tabela1[[#This Row],[Valor total]]/Tabela1[[#This Row],[Estoque total]])*Tabela1[[#This Row],[Consumo]]</f>
        <v>0</v>
      </c>
    </row>
    <row r="187" spans="1:12" x14ac:dyDescent="0.25">
      <c r="A187" t="s">
        <v>370</v>
      </c>
      <c r="B187" t="s">
        <v>371</v>
      </c>
      <c r="C187" t="s">
        <v>2</v>
      </c>
      <c r="D187" t="s">
        <v>3</v>
      </c>
      <c r="E187" t="s">
        <v>4</v>
      </c>
      <c r="F187" t="s">
        <v>5</v>
      </c>
      <c r="G187" s="2">
        <v>2</v>
      </c>
      <c r="H187" t="s">
        <v>6</v>
      </c>
      <c r="I187" s="6">
        <v>1296</v>
      </c>
      <c r="K187" s="4">
        <f>Tabela1[[#This Row],[Estoque total]]-Tabela1[[#This Row],[Consumo]]</f>
        <v>2</v>
      </c>
      <c r="L187" s="7">
        <f>(Tabela1[[#This Row],[Valor total]]/Tabela1[[#This Row],[Estoque total]])*Tabela1[[#This Row],[Consumo]]</f>
        <v>0</v>
      </c>
    </row>
    <row r="188" spans="1:12" x14ac:dyDescent="0.25">
      <c r="A188" t="s">
        <v>372</v>
      </c>
      <c r="B188" t="s">
        <v>373</v>
      </c>
      <c r="C188" t="s">
        <v>2</v>
      </c>
      <c r="D188" t="s">
        <v>3</v>
      </c>
      <c r="E188" t="s">
        <v>4</v>
      </c>
      <c r="F188" t="s">
        <v>5</v>
      </c>
      <c r="G188" s="2">
        <v>4</v>
      </c>
      <c r="H188" t="s">
        <v>6</v>
      </c>
      <c r="I188" s="6">
        <v>175.2</v>
      </c>
      <c r="K188" s="4">
        <f>Tabela1[[#This Row],[Estoque total]]-Tabela1[[#This Row],[Consumo]]</f>
        <v>4</v>
      </c>
      <c r="L188" s="7">
        <f>(Tabela1[[#This Row],[Valor total]]/Tabela1[[#This Row],[Estoque total]])*Tabela1[[#This Row],[Consumo]]</f>
        <v>0</v>
      </c>
    </row>
    <row r="189" spans="1:12" x14ac:dyDescent="0.25">
      <c r="A189" t="s">
        <v>374</v>
      </c>
      <c r="B189" t="s">
        <v>375</v>
      </c>
      <c r="C189" t="s">
        <v>2</v>
      </c>
      <c r="D189" t="s">
        <v>3</v>
      </c>
      <c r="E189" t="s">
        <v>4</v>
      </c>
      <c r="F189" t="s">
        <v>5</v>
      </c>
      <c r="G189" s="2">
        <v>82</v>
      </c>
      <c r="H189" t="s">
        <v>6</v>
      </c>
      <c r="I189" s="6">
        <v>769.16</v>
      </c>
      <c r="K189" s="4">
        <f>Tabela1[[#This Row],[Estoque total]]-Tabela1[[#This Row],[Consumo]]</f>
        <v>82</v>
      </c>
      <c r="L189" s="7">
        <f>(Tabela1[[#This Row],[Valor total]]/Tabela1[[#This Row],[Estoque total]])*Tabela1[[#This Row],[Consumo]]</f>
        <v>0</v>
      </c>
    </row>
    <row r="190" spans="1:12" x14ac:dyDescent="0.25">
      <c r="A190" t="s">
        <v>376</v>
      </c>
      <c r="B190" t="s">
        <v>377</v>
      </c>
      <c r="C190" t="s">
        <v>2</v>
      </c>
      <c r="D190" t="s">
        <v>3</v>
      </c>
      <c r="E190" t="s">
        <v>4</v>
      </c>
      <c r="F190" t="s">
        <v>5</v>
      </c>
      <c r="G190" s="2">
        <v>254</v>
      </c>
      <c r="H190" t="s">
        <v>6</v>
      </c>
      <c r="I190" s="6">
        <v>190.5</v>
      </c>
      <c r="K190" s="4">
        <f>Tabela1[[#This Row],[Estoque total]]-Tabela1[[#This Row],[Consumo]]</f>
        <v>254</v>
      </c>
      <c r="L190" s="7">
        <f>(Tabela1[[#This Row],[Valor total]]/Tabela1[[#This Row],[Estoque total]])*Tabela1[[#This Row],[Consumo]]</f>
        <v>0</v>
      </c>
    </row>
    <row r="191" spans="1:12" x14ac:dyDescent="0.25">
      <c r="A191" t="s">
        <v>378</v>
      </c>
      <c r="B191" t="s">
        <v>379</v>
      </c>
      <c r="C191" t="s">
        <v>2</v>
      </c>
      <c r="D191" t="s">
        <v>3</v>
      </c>
      <c r="E191" t="s">
        <v>4</v>
      </c>
      <c r="F191" t="s">
        <v>5</v>
      </c>
      <c r="G191" s="2">
        <v>209</v>
      </c>
      <c r="H191" t="s">
        <v>6</v>
      </c>
      <c r="I191" s="6">
        <v>2397.56</v>
      </c>
      <c r="K191" s="4">
        <f>Tabela1[[#This Row],[Estoque total]]-Tabela1[[#This Row],[Consumo]]</f>
        <v>209</v>
      </c>
      <c r="L191" s="7">
        <f>(Tabela1[[#This Row],[Valor total]]/Tabela1[[#This Row],[Estoque total]])*Tabela1[[#This Row],[Consumo]]</f>
        <v>0</v>
      </c>
    </row>
    <row r="192" spans="1:12" x14ac:dyDescent="0.25">
      <c r="A192" t="s">
        <v>380</v>
      </c>
      <c r="B192" t="s">
        <v>381</v>
      </c>
      <c r="C192" t="s">
        <v>2</v>
      </c>
      <c r="D192" t="s">
        <v>3</v>
      </c>
      <c r="E192" t="s">
        <v>4</v>
      </c>
      <c r="F192" t="s">
        <v>5</v>
      </c>
      <c r="G192" s="2">
        <v>1</v>
      </c>
      <c r="H192" t="s">
        <v>6</v>
      </c>
      <c r="I192" s="6">
        <v>7.81</v>
      </c>
      <c r="K192" s="4">
        <f>Tabela1[[#This Row],[Estoque total]]-Tabela1[[#This Row],[Consumo]]</f>
        <v>1</v>
      </c>
      <c r="L192" s="7">
        <f>(Tabela1[[#This Row],[Valor total]]/Tabela1[[#This Row],[Estoque total]])*Tabela1[[#This Row],[Consumo]]</f>
        <v>0</v>
      </c>
    </row>
    <row r="193" spans="1:12" x14ac:dyDescent="0.25">
      <c r="A193" t="s">
        <v>382</v>
      </c>
      <c r="B193" t="s">
        <v>383</v>
      </c>
      <c r="C193" t="s">
        <v>2</v>
      </c>
      <c r="D193" t="s">
        <v>3</v>
      </c>
      <c r="E193" t="s">
        <v>4</v>
      </c>
      <c r="F193" t="s">
        <v>5</v>
      </c>
      <c r="G193" s="2">
        <v>152</v>
      </c>
      <c r="H193" t="s">
        <v>6</v>
      </c>
      <c r="I193" s="6">
        <v>7714.82</v>
      </c>
      <c r="K193" s="4">
        <f>Tabela1[[#This Row],[Estoque total]]-Tabela1[[#This Row],[Consumo]]</f>
        <v>152</v>
      </c>
      <c r="L193" s="7">
        <f>(Tabela1[[#This Row],[Valor total]]/Tabela1[[#This Row],[Estoque total]])*Tabela1[[#This Row],[Consumo]]</f>
        <v>0</v>
      </c>
    </row>
    <row r="194" spans="1:12" x14ac:dyDescent="0.25">
      <c r="A194" t="s">
        <v>384</v>
      </c>
      <c r="B194" t="s">
        <v>385</v>
      </c>
      <c r="C194" t="s">
        <v>2</v>
      </c>
      <c r="D194" t="s">
        <v>3</v>
      </c>
      <c r="E194" t="s">
        <v>4</v>
      </c>
      <c r="F194" t="s">
        <v>5</v>
      </c>
      <c r="G194" s="2">
        <v>106</v>
      </c>
      <c r="H194" t="s">
        <v>6</v>
      </c>
      <c r="I194" s="6">
        <v>5770.03</v>
      </c>
      <c r="K194" s="4">
        <f>Tabela1[[#This Row],[Estoque total]]-Tabela1[[#This Row],[Consumo]]</f>
        <v>106</v>
      </c>
      <c r="L194" s="7">
        <f>(Tabela1[[#This Row],[Valor total]]/Tabela1[[#This Row],[Estoque total]])*Tabela1[[#This Row],[Consumo]]</f>
        <v>0</v>
      </c>
    </row>
    <row r="195" spans="1:12" x14ac:dyDescent="0.25">
      <c r="A195" t="s">
        <v>386</v>
      </c>
      <c r="B195" t="s">
        <v>387</v>
      </c>
      <c r="C195" t="s">
        <v>2</v>
      </c>
      <c r="D195" t="s">
        <v>3</v>
      </c>
      <c r="E195" t="s">
        <v>4</v>
      </c>
      <c r="F195" t="s">
        <v>5</v>
      </c>
      <c r="G195" s="2">
        <v>225</v>
      </c>
      <c r="H195" t="s">
        <v>6</v>
      </c>
      <c r="I195" s="6">
        <v>13486.74</v>
      </c>
      <c r="K195" s="4">
        <f>Tabela1[[#This Row],[Estoque total]]-Tabela1[[#This Row],[Consumo]]</f>
        <v>225</v>
      </c>
      <c r="L195" s="7">
        <f>(Tabela1[[#This Row],[Valor total]]/Tabela1[[#This Row],[Estoque total]])*Tabela1[[#This Row],[Consumo]]</f>
        <v>0</v>
      </c>
    </row>
    <row r="196" spans="1:12" x14ac:dyDescent="0.25">
      <c r="A196" t="s">
        <v>388</v>
      </c>
      <c r="B196" t="s">
        <v>389</v>
      </c>
      <c r="C196" t="s">
        <v>2</v>
      </c>
      <c r="D196" t="s">
        <v>3</v>
      </c>
      <c r="E196" t="s">
        <v>4</v>
      </c>
      <c r="F196" t="s">
        <v>5</v>
      </c>
      <c r="G196" s="2">
        <v>220</v>
      </c>
      <c r="H196" t="s">
        <v>6</v>
      </c>
      <c r="I196" s="6">
        <v>1914</v>
      </c>
      <c r="K196" s="4">
        <f>Tabela1[[#This Row],[Estoque total]]-Tabela1[[#This Row],[Consumo]]</f>
        <v>220</v>
      </c>
      <c r="L196" s="7">
        <f>(Tabela1[[#This Row],[Valor total]]/Tabela1[[#This Row],[Estoque total]])*Tabela1[[#This Row],[Consumo]]</f>
        <v>0</v>
      </c>
    </row>
    <row r="197" spans="1:12" x14ac:dyDescent="0.25">
      <c r="A197" t="s">
        <v>390</v>
      </c>
      <c r="B197" t="s">
        <v>391</v>
      </c>
      <c r="C197" t="s">
        <v>2</v>
      </c>
      <c r="D197" t="s">
        <v>3</v>
      </c>
      <c r="E197" t="s">
        <v>4</v>
      </c>
      <c r="F197" t="s">
        <v>5</v>
      </c>
      <c r="G197" s="2">
        <v>15</v>
      </c>
      <c r="H197" t="s">
        <v>6</v>
      </c>
      <c r="I197" s="6">
        <v>351</v>
      </c>
      <c r="J197">
        <v>9</v>
      </c>
      <c r="K197" s="4">
        <f>Tabela1[[#This Row],[Estoque total]]-Tabela1[[#This Row],[Consumo]]</f>
        <v>6</v>
      </c>
      <c r="L197" s="7">
        <f>(Tabela1[[#This Row],[Valor total]]/Tabela1[[#This Row],[Estoque total]])*Tabela1[[#This Row],[Consumo]]</f>
        <v>210.6</v>
      </c>
    </row>
    <row r="198" spans="1:12" x14ac:dyDescent="0.25">
      <c r="A198" t="s">
        <v>392</v>
      </c>
      <c r="B198" t="s">
        <v>393</v>
      </c>
      <c r="C198" t="s">
        <v>2</v>
      </c>
      <c r="D198" t="s">
        <v>3</v>
      </c>
      <c r="E198" t="s">
        <v>4</v>
      </c>
      <c r="F198" t="s">
        <v>5</v>
      </c>
      <c r="G198" s="2">
        <v>36</v>
      </c>
      <c r="H198" t="s">
        <v>6</v>
      </c>
      <c r="I198" s="6">
        <v>1216.8</v>
      </c>
      <c r="J198">
        <v>2</v>
      </c>
      <c r="K198" s="4">
        <f>Tabela1[[#This Row],[Estoque total]]-Tabela1[[#This Row],[Consumo]]</f>
        <v>34</v>
      </c>
      <c r="L198" s="7">
        <f>(Tabela1[[#This Row],[Valor total]]/Tabela1[[#This Row],[Estoque total]])*Tabela1[[#This Row],[Consumo]]</f>
        <v>67.599999999999994</v>
      </c>
    </row>
    <row r="199" spans="1:12" x14ac:dyDescent="0.25">
      <c r="A199" t="s">
        <v>394</v>
      </c>
      <c r="B199" t="s">
        <v>395</v>
      </c>
      <c r="C199" t="s">
        <v>2</v>
      </c>
      <c r="D199" t="s">
        <v>3</v>
      </c>
      <c r="E199" t="s">
        <v>4</v>
      </c>
      <c r="F199" t="s">
        <v>19</v>
      </c>
      <c r="G199" s="2">
        <v>4</v>
      </c>
      <c r="H199" t="s">
        <v>6</v>
      </c>
      <c r="I199" s="6">
        <v>271.56</v>
      </c>
      <c r="K199" s="4">
        <f>Tabela1[[#This Row],[Estoque total]]-Tabela1[[#This Row],[Consumo]]</f>
        <v>4</v>
      </c>
      <c r="L199" s="7">
        <f>(Tabela1[[#This Row],[Valor total]]/Tabela1[[#This Row],[Estoque total]])*Tabela1[[#This Row],[Consumo]]</f>
        <v>0</v>
      </c>
    </row>
    <row r="200" spans="1:12" x14ac:dyDescent="0.25">
      <c r="A200" t="s">
        <v>394</v>
      </c>
      <c r="B200" t="s">
        <v>395</v>
      </c>
      <c r="C200" t="s">
        <v>2</v>
      </c>
      <c r="D200" t="s">
        <v>3</v>
      </c>
      <c r="E200" t="s">
        <v>4</v>
      </c>
      <c r="F200" t="s">
        <v>5</v>
      </c>
      <c r="G200" s="2">
        <v>41</v>
      </c>
      <c r="H200" t="s">
        <v>6</v>
      </c>
      <c r="I200" s="6">
        <v>4236.5200000000004</v>
      </c>
      <c r="K200" s="4">
        <f>Tabela1[[#This Row],[Estoque total]]-Tabela1[[#This Row],[Consumo]]</f>
        <v>41</v>
      </c>
      <c r="L200" s="7">
        <f>(Tabela1[[#This Row],[Valor total]]/Tabela1[[#This Row],[Estoque total]])*Tabela1[[#This Row],[Consumo]]</f>
        <v>0</v>
      </c>
    </row>
    <row r="201" spans="1:12" x14ac:dyDescent="0.25">
      <c r="A201" t="s">
        <v>396</v>
      </c>
      <c r="B201" t="s">
        <v>397</v>
      </c>
      <c r="C201" t="s">
        <v>2</v>
      </c>
      <c r="D201" t="s">
        <v>3</v>
      </c>
      <c r="E201" t="s">
        <v>4</v>
      </c>
      <c r="F201" t="s">
        <v>19</v>
      </c>
      <c r="G201" s="2">
        <v>4</v>
      </c>
      <c r="H201" t="s">
        <v>6</v>
      </c>
      <c r="I201" s="6">
        <v>289.68</v>
      </c>
      <c r="K201" s="4">
        <f>Tabela1[[#This Row],[Estoque total]]-Tabela1[[#This Row],[Consumo]]</f>
        <v>4</v>
      </c>
      <c r="L201" s="7">
        <f>(Tabela1[[#This Row],[Valor total]]/Tabela1[[#This Row],[Estoque total]])*Tabela1[[#This Row],[Consumo]]</f>
        <v>0</v>
      </c>
    </row>
    <row r="202" spans="1:12" x14ac:dyDescent="0.25">
      <c r="A202" t="s">
        <v>396</v>
      </c>
      <c r="B202" t="s">
        <v>397</v>
      </c>
      <c r="C202" t="s">
        <v>2</v>
      </c>
      <c r="D202" t="s">
        <v>3</v>
      </c>
      <c r="E202" t="s">
        <v>4</v>
      </c>
      <c r="F202" t="s">
        <v>5</v>
      </c>
      <c r="G202" s="2">
        <v>56</v>
      </c>
      <c r="H202" t="s">
        <v>6</v>
      </c>
      <c r="I202" s="6">
        <v>6160</v>
      </c>
      <c r="K202" s="4">
        <f>Tabela1[[#This Row],[Estoque total]]-Tabela1[[#This Row],[Consumo]]</f>
        <v>56</v>
      </c>
      <c r="L202" s="7">
        <f>(Tabela1[[#This Row],[Valor total]]/Tabela1[[#This Row],[Estoque total]])*Tabela1[[#This Row],[Consumo]]</f>
        <v>0</v>
      </c>
    </row>
    <row r="203" spans="1:12" x14ac:dyDescent="0.25">
      <c r="A203" t="s">
        <v>398</v>
      </c>
      <c r="B203" t="s">
        <v>399</v>
      </c>
      <c r="C203" t="s">
        <v>2</v>
      </c>
      <c r="D203" t="s">
        <v>3</v>
      </c>
      <c r="E203" t="s">
        <v>4</v>
      </c>
      <c r="F203" t="s">
        <v>5</v>
      </c>
      <c r="G203" s="2">
        <v>128</v>
      </c>
      <c r="H203" t="s">
        <v>6</v>
      </c>
      <c r="I203" s="6">
        <v>4618.83</v>
      </c>
      <c r="K203" s="4">
        <f>Tabela1[[#This Row],[Estoque total]]-Tabela1[[#This Row],[Consumo]]</f>
        <v>128</v>
      </c>
      <c r="L203" s="7">
        <f>(Tabela1[[#This Row],[Valor total]]/Tabela1[[#This Row],[Estoque total]])*Tabela1[[#This Row],[Consumo]]</f>
        <v>0</v>
      </c>
    </row>
    <row r="204" spans="1:12" x14ac:dyDescent="0.25">
      <c r="A204" t="s">
        <v>400</v>
      </c>
      <c r="B204" t="s">
        <v>401</v>
      </c>
      <c r="C204" t="s">
        <v>2</v>
      </c>
      <c r="D204" t="s">
        <v>3</v>
      </c>
      <c r="E204" t="s">
        <v>4</v>
      </c>
      <c r="F204" t="s">
        <v>5</v>
      </c>
      <c r="G204" s="2">
        <v>125</v>
      </c>
      <c r="H204" t="s">
        <v>6</v>
      </c>
      <c r="I204" s="6">
        <v>5187.5</v>
      </c>
      <c r="K204" s="4">
        <f>Tabela1[[#This Row],[Estoque total]]-Tabela1[[#This Row],[Consumo]]</f>
        <v>125</v>
      </c>
      <c r="L204" s="7">
        <f>(Tabela1[[#This Row],[Valor total]]/Tabela1[[#This Row],[Estoque total]])*Tabela1[[#This Row],[Consumo]]</f>
        <v>0</v>
      </c>
    </row>
    <row r="205" spans="1:12" x14ac:dyDescent="0.25">
      <c r="A205" t="s">
        <v>402</v>
      </c>
      <c r="B205" t="s">
        <v>403</v>
      </c>
      <c r="C205" t="s">
        <v>2</v>
      </c>
      <c r="D205" t="s">
        <v>3</v>
      </c>
      <c r="E205" t="s">
        <v>4</v>
      </c>
      <c r="F205" t="s">
        <v>5</v>
      </c>
      <c r="G205" s="2">
        <v>8</v>
      </c>
      <c r="H205" t="s">
        <v>6</v>
      </c>
      <c r="I205" s="6">
        <v>422.84</v>
      </c>
      <c r="K205" s="4">
        <f>Tabela1[[#This Row],[Estoque total]]-Tabela1[[#This Row],[Consumo]]</f>
        <v>8</v>
      </c>
      <c r="L205" s="7">
        <f>(Tabela1[[#This Row],[Valor total]]/Tabela1[[#This Row],[Estoque total]])*Tabela1[[#This Row],[Consumo]]</f>
        <v>0</v>
      </c>
    </row>
    <row r="206" spans="1:12" x14ac:dyDescent="0.25">
      <c r="A206" t="s">
        <v>404</v>
      </c>
      <c r="B206" t="s">
        <v>405</v>
      </c>
      <c r="C206" t="s">
        <v>2</v>
      </c>
      <c r="D206" t="s">
        <v>3</v>
      </c>
      <c r="E206" t="s">
        <v>4</v>
      </c>
      <c r="F206" t="s">
        <v>5</v>
      </c>
      <c r="G206" s="2">
        <v>173</v>
      </c>
      <c r="H206" t="s">
        <v>6</v>
      </c>
      <c r="I206" s="6">
        <v>1268.69</v>
      </c>
      <c r="K206" s="4">
        <f>Tabela1[[#This Row],[Estoque total]]-Tabela1[[#This Row],[Consumo]]</f>
        <v>173</v>
      </c>
      <c r="L206" s="7">
        <f>(Tabela1[[#This Row],[Valor total]]/Tabela1[[#This Row],[Estoque total]])*Tabela1[[#This Row],[Consumo]]</f>
        <v>0</v>
      </c>
    </row>
    <row r="207" spans="1:12" x14ac:dyDescent="0.25">
      <c r="A207" t="s">
        <v>406</v>
      </c>
      <c r="B207" t="s">
        <v>407</v>
      </c>
      <c r="C207" t="s">
        <v>2</v>
      </c>
      <c r="D207" t="s">
        <v>3</v>
      </c>
      <c r="E207" t="s">
        <v>4</v>
      </c>
      <c r="F207" t="s">
        <v>5</v>
      </c>
      <c r="G207" s="2">
        <v>349</v>
      </c>
      <c r="H207" t="s">
        <v>6</v>
      </c>
      <c r="I207" s="6">
        <v>17927.14</v>
      </c>
      <c r="K207" s="4">
        <f>Tabela1[[#This Row],[Estoque total]]-Tabela1[[#This Row],[Consumo]]</f>
        <v>349</v>
      </c>
      <c r="L207" s="7">
        <f>(Tabela1[[#This Row],[Valor total]]/Tabela1[[#This Row],[Estoque total]])*Tabela1[[#This Row],[Consumo]]</f>
        <v>0</v>
      </c>
    </row>
    <row r="208" spans="1:12" x14ac:dyDescent="0.25">
      <c r="A208" t="s">
        <v>408</v>
      </c>
      <c r="B208" t="s">
        <v>409</v>
      </c>
      <c r="C208" t="s">
        <v>2</v>
      </c>
      <c r="D208" t="s">
        <v>3</v>
      </c>
      <c r="E208" t="s">
        <v>4</v>
      </c>
      <c r="F208" t="s">
        <v>5</v>
      </c>
      <c r="G208" s="2">
        <v>245</v>
      </c>
      <c r="H208" t="s">
        <v>6</v>
      </c>
      <c r="I208" s="6">
        <v>12176.5</v>
      </c>
      <c r="K208" s="4">
        <f>Tabela1[[#This Row],[Estoque total]]-Tabela1[[#This Row],[Consumo]]</f>
        <v>245</v>
      </c>
      <c r="L208" s="7">
        <f>(Tabela1[[#This Row],[Valor total]]/Tabela1[[#This Row],[Estoque total]])*Tabela1[[#This Row],[Consumo]]</f>
        <v>0</v>
      </c>
    </row>
    <row r="209" spans="1:12" x14ac:dyDescent="0.25">
      <c r="A209" t="s">
        <v>410</v>
      </c>
      <c r="B209" t="s">
        <v>411</v>
      </c>
      <c r="C209" t="s">
        <v>2</v>
      </c>
      <c r="D209" t="s">
        <v>3</v>
      </c>
      <c r="E209" t="s">
        <v>4</v>
      </c>
      <c r="F209" t="s">
        <v>5</v>
      </c>
      <c r="G209" s="2">
        <v>7</v>
      </c>
      <c r="H209" t="s">
        <v>6</v>
      </c>
      <c r="I209" s="6">
        <v>290.60000000000002</v>
      </c>
      <c r="K209" s="4">
        <f>Tabela1[[#This Row],[Estoque total]]-Tabela1[[#This Row],[Consumo]]</f>
        <v>7</v>
      </c>
      <c r="L209" s="7">
        <f>(Tabela1[[#This Row],[Valor total]]/Tabela1[[#This Row],[Estoque total]])*Tabela1[[#This Row],[Consumo]]</f>
        <v>0</v>
      </c>
    </row>
    <row r="210" spans="1:12" x14ac:dyDescent="0.25">
      <c r="A210" t="s">
        <v>412</v>
      </c>
      <c r="B210" t="s">
        <v>413</v>
      </c>
      <c r="C210" t="s">
        <v>2</v>
      </c>
      <c r="D210" t="s">
        <v>3</v>
      </c>
      <c r="E210" t="s">
        <v>4</v>
      </c>
      <c r="F210" t="s">
        <v>5</v>
      </c>
      <c r="G210" s="2">
        <v>4</v>
      </c>
      <c r="H210" t="s">
        <v>6</v>
      </c>
      <c r="I210" s="6">
        <v>158</v>
      </c>
      <c r="K210" s="4">
        <f>Tabela1[[#This Row],[Estoque total]]-Tabela1[[#This Row],[Consumo]]</f>
        <v>4</v>
      </c>
      <c r="L210" s="7">
        <f>(Tabela1[[#This Row],[Valor total]]/Tabela1[[#This Row],[Estoque total]])*Tabela1[[#This Row],[Consumo]]</f>
        <v>0</v>
      </c>
    </row>
    <row r="211" spans="1:12" x14ac:dyDescent="0.25">
      <c r="A211" t="s">
        <v>414</v>
      </c>
      <c r="B211" t="s">
        <v>415</v>
      </c>
      <c r="C211" t="s">
        <v>2</v>
      </c>
      <c r="D211" t="s">
        <v>3</v>
      </c>
      <c r="E211" t="s">
        <v>4</v>
      </c>
      <c r="F211" t="s">
        <v>5</v>
      </c>
      <c r="G211" s="2">
        <v>114</v>
      </c>
      <c r="H211" t="s">
        <v>6</v>
      </c>
      <c r="I211" s="6">
        <v>4902</v>
      </c>
      <c r="K211" s="4">
        <f>Tabela1[[#This Row],[Estoque total]]-Tabela1[[#This Row],[Consumo]]</f>
        <v>114</v>
      </c>
      <c r="L211" s="7">
        <f>(Tabela1[[#This Row],[Valor total]]/Tabela1[[#This Row],[Estoque total]])*Tabela1[[#This Row],[Consumo]]</f>
        <v>0</v>
      </c>
    </row>
    <row r="212" spans="1:12" x14ac:dyDescent="0.25">
      <c r="A212" t="s">
        <v>416</v>
      </c>
      <c r="B212" t="s">
        <v>417</v>
      </c>
      <c r="C212" t="s">
        <v>2</v>
      </c>
      <c r="D212" t="s">
        <v>3</v>
      </c>
      <c r="E212" t="s">
        <v>4</v>
      </c>
      <c r="F212" t="s">
        <v>5</v>
      </c>
      <c r="G212" s="2">
        <v>134</v>
      </c>
      <c r="H212" t="s">
        <v>6</v>
      </c>
      <c r="I212" s="6">
        <v>6159.59</v>
      </c>
      <c r="K212" s="4">
        <f>Tabela1[[#This Row],[Estoque total]]-Tabela1[[#This Row],[Consumo]]</f>
        <v>134</v>
      </c>
      <c r="L212" s="7">
        <f>(Tabela1[[#This Row],[Valor total]]/Tabela1[[#This Row],[Estoque total]])*Tabela1[[#This Row],[Consumo]]</f>
        <v>0</v>
      </c>
    </row>
    <row r="213" spans="1:12" x14ac:dyDescent="0.25">
      <c r="A213" t="s">
        <v>418</v>
      </c>
      <c r="B213" t="s">
        <v>419</v>
      </c>
      <c r="C213" t="s">
        <v>2</v>
      </c>
      <c r="D213" t="s">
        <v>3</v>
      </c>
      <c r="E213" t="s">
        <v>4</v>
      </c>
      <c r="F213" t="s">
        <v>5</v>
      </c>
      <c r="G213" s="2">
        <v>15</v>
      </c>
      <c r="H213" t="s">
        <v>6</v>
      </c>
      <c r="I213" s="6">
        <v>781.5</v>
      </c>
      <c r="J213">
        <v>9</v>
      </c>
      <c r="K213" s="4">
        <f>Tabela1[[#This Row],[Estoque total]]-Tabela1[[#This Row],[Consumo]]</f>
        <v>6</v>
      </c>
      <c r="L213" s="7">
        <f>(Tabela1[[#This Row],[Valor total]]/Tabela1[[#This Row],[Estoque total]])*Tabela1[[#This Row],[Consumo]]</f>
        <v>468.90000000000003</v>
      </c>
    </row>
    <row r="214" spans="1:12" x14ac:dyDescent="0.25">
      <c r="A214" t="s">
        <v>420</v>
      </c>
      <c r="B214" t="s">
        <v>421</v>
      </c>
      <c r="C214" t="s">
        <v>2</v>
      </c>
      <c r="D214" t="s">
        <v>3</v>
      </c>
      <c r="E214" t="s">
        <v>4</v>
      </c>
      <c r="F214" t="s">
        <v>5</v>
      </c>
      <c r="G214" s="2">
        <v>20</v>
      </c>
      <c r="H214" t="s">
        <v>6</v>
      </c>
      <c r="I214" s="6">
        <v>1596</v>
      </c>
      <c r="J214">
        <v>9</v>
      </c>
      <c r="K214" s="4">
        <f>Tabela1[[#This Row],[Estoque total]]-Tabela1[[#This Row],[Consumo]]</f>
        <v>11</v>
      </c>
      <c r="L214" s="7">
        <f>(Tabela1[[#This Row],[Valor total]]/Tabela1[[#This Row],[Estoque total]])*Tabela1[[#This Row],[Consumo]]</f>
        <v>718.19999999999993</v>
      </c>
    </row>
    <row r="215" spans="1:12" x14ac:dyDescent="0.25">
      <c r="A215" t="s">
        <v>422</v>
      </c>
      <c r="B215" t="s">
        <v>423</v>
      </c>
      <c r="C215" t="s">
        <v>2</v>
      </c>
      <c r="D215" t="s">
        <v>3</v>
      </c>
      <c r="E215" t="s">
        <v>4</v>
      </c>
      <c r="F215" t="s">
        <v>5</v>
      </c>
      <c r="G215" s="2">
        <v>15</v>
      </c>
      <c r="H215" t="s">
        <v>6</v>
      </c>
      <c r="I215" s="6">
        <v>706.5</v>
      </c>
      <c r="J215">
        <v>9</v>
      </c>
      <c r="K215" s="4">
        <f>Tabela1[[#This Row],[Estoque total]]-Tabela1[[#This Row],[Consumo]]</f>
        <v>6</v>
      </c>
      <c r="L215" s="7">
        <f>(Tabela1[[#This Row],[Valor total]]/Tabela1[[#This Row],[Estoque total]])*Tabela1[[#This Row],[Consumo]]</f>
        <v>423.90000000000003</v>
      </c>
    </row>
    <row r="216" spans="1:12" x14ac:dyDescent="0.25">
      <c r="A216" t="s">
        <v>424</v>
      </c>
      <c r="B216" t="s">
        <v>425</v>
      </c>
      <c r="C216" t="s">
        <v>2</v>
      </c>
      <c r="D216" t="s">
        <v>3</v>
      </c>
      <c r="E216" t="s">
        <v>4</v>
      </c>
      <c r="F216" t="s">
        <v>5</v>
      </c>
      <c r="G216" s="2">
        <v>51</v>
      </c>
      <c r="H216" t="s">
        <v>6</v>
      </c>
      <c r="I216" s="6">
        <v>2376.6</v>
      </c>
      <c r="K216" s="4">
        <f>Tabela1[[#This Row],[Estoque total]]-Tabela1[[#This Row],[Consumo]]</f>
        <v>51</v>
      </c>
      <c r="L216" s="7">
        <f>(Tabela1[[#This Row],[Valor total]]/Tabela1[[#This Row],[Estoque total]])*Tabela1[[#This Row],[Consumo]]</f>
        <v>0</v>
      </c>
    </row>
    <row r="217" spans="1:12" x14ac:dyDescent="0.25">
      <c r="A217" t="s">
        <v>426</v>
      </c>
      <c r="B217" t="s">
        <v>427</v>
      </c>
      <c r="C217" t="s">
        <v>2</v>
      </c>
      <c r="D217" t="s">
        <v>3</v>
      </c>
      <c r="E217" t="s">
        <v>4</v>
      </c>
      <c r="F217" t="s">
        <v>5</v>
      </c>
      <c r="G217" s="2">
        <v>51</v>
      </c>
      <c r="H217" t="s">
        <v>6</v>
      </c>
      <c r="I217" s="6">
        <v>2376.6</v>
      </c>
      <c r="K217" s="4">
        <f>Tabela1[[#This Row],[Estoque total]]-Tabela1[[#This Row],[Consumo]]</f>
        <v>51</v>
      </c>
      <c r="L217" s="7">
        <f>(Tabela1[[#This Row],[Valor total]]/Tabela1[[#This Row],[Estoque total]])*Tabela1[[#This Row],[Consumo]]</f>
        <v>0</v>
      </c>
    </row>
    <row r="218" spans="1:12" x14ac:dyDescent="0.25">
      <c r="A218" t="s">
        <v>428</v>
      </c>
      <c r="B218" t="s">
        <v>429</v>
      </c>
      <c r="C218" t="s">
        <v>2</v>
      </c>
      <c r="D218" t="s">
        <v>3</v>
      </c>
      <c r="E218" t="s">
        <v>4</v>
      </c>
      <c r="F218" t="s">
        <v>5</v>
      </c>
      <c r="G218" s="2">
        <v>18</v>
      </c>
      <c r="H218" t="s">
        <v>6</v>
      </c>
      <c r="I218" s="6">
        <v>838.8</v>
      </c>
      <c r="K218" s="4">
        <f>Tabela1[[#This Row],[Estoque total]]-Tabela1[[#This Row],[Consumo]]</f>
        <v>18</v>
      </c>
      <c r="L218" s="7">
        <f>(Tabela1[[#This Row],[Valor total]]/Tabela1[[#This Row],[Estoque total]])*Tabela1[[#This Row],[Consumo]]</f>
        <v>0</v>
      </c>
    </row>
    <row r="219" spans="1:12" x14ac:dyDescent="0.25">
      <c r="A219" t="s">
        <v>430</v>
      </c>
      <c r="B219" t="s">
        <v>431</v>
      </c>
      <c r="C219" t="s">
        <v>2</v>
      </c>
      <c r="D219" t="s">
        <v>3</v>
      </c>
      <c r="E219" t="s">
        <v>4</v>
      </c>
      <c r="F219" t="s">
        <v>5</v>
      </c>
      <c r="G219" s="2">
        <v>15</v>
      </c>
      <c r="H219" t="s">
        <v>6</v>
      </c>
      <c r="I219" s="6">
        <v>730.5</v>
      </c>
      <c r="J219">
        <v>9</v>
      </c>
      <c r="K219" s="4">
        <f>Tabela1[[#This Row],[Estoque total]]-Tabela1[[#This Row],[Consumo]]</f>
        <v>6</v>
      </c>
      <c r="L219" s="7">
        <f>(Tabela1[[#This Row],[Valor total]]/Tabela1[[#This Row],[Estoque total]])*Tabela1[[#This Row],[Consumo]]</f>
        <v>438.3</v>
      </c>
    </row>
    <row r="220" spans="1:12" x14ac:dyDescent="0.25">
      <c r="A220" t="s">
        <v>432</v>
      </c>
      <c r="B220" t="s">
        <v>433</v>
      </c>
      <c r="C220" t="s">
        <v>2</v>
      </c>
      <c r="D220" t="s">
        <v>3</v>
      </c>
      <c r="E220" t="s">
        <v>4</v>
      </c>
      <c r="F220" t="s">
        <v>5</v>
      </c>
      <c r="G220" s="2">
        <v>223</v>
      </c>
      <c r="H220" t="s">
        <v>6</v>
      </c>
      <c r="I220" s="6">
        <v>12335.97</v>
      </c>
      <c r="K220" s="4">
        <f>Tabela1[[#This Row],[Estoque total]]-Tabela1[[#This Row],[Consumo]]</f>
        <v>223</v>
      </c>
      <c r="L220" s="7">
        <f>(Tabela1[[#This Row],[Valor total]]/Tabela1[[#This Row],[Estoque total]])*Tabela1[[#This Row],[Consumo]]</f>
        <v>0</v>
      </c>
    </row>
    <row r="221" spans="1:12" x14ac:dyDescent="0.25">
      <c r="A221" t="s">
        <v>434</v>
      </c>
      <c r="B221" t="s">
        <v>435</v>
      </c>
      <c r="C221" t="s">
        <v>2</v>
      </c>
      <c r="D221" t="s">
        <v>3</v>
      </c>
      <c r="E221" t="s">
        <v>4</v>
      </c>
      <c r="F221" t="s">
        <v>5</v>
      </c>
      <c r="G221" s="2">
        <v>58</v>
      </c>
      <c r="H221" t="s">
        <v>6</v>
      </c>
      <c r="I221" s="6">
        <v>3126.18</v>
      </c>
      <c r="K221" s="4">
        <f>Tabela1[[#This Row],[Estoque total]]-Tabela1[[#This Row],[Consumo]]</f>
        <v>58</v>
      </c>
      <c r="L221" s="7">
        <f>(Tabela1[[#This Row],[Valor total]]/Tabela1[[#This Row],[Estoque total]])*Tabela1[[#This Row],[Consumo]]</f>
        <v>0</v>
      </c>
    </row>
    <row r="222" spans="1:12" x14ac:dyDescent="0.25">
      <c r="A222" t="s">
        <v>436</v>
      </c>
      <c r="B222" t="s">
        <v>437</v>
      </c>
      <c r="C222" t="s">
        <v>2</v>
      </c>
      <c r="D222" t="s">
        <v>3</v>
      </c>
      <c r="E222" t="s">
        <v>4</v>
      </c>
      <c r="F222" t="s">
        <v>5</v>
      </c>
      <c r="G222" s="2">
        <v>44</v>
      </c>
      <c r="H222" t="s">
        <v>6</v>
      </c>
      <c r="I222" s="6">
        <v>2327.6</v>
      </c>
      <c r="J222">
        <v>42</v>
      </c>
      <c r="K222" s="4">
        <f>Tabela1[[#This Row],[Estoque total]]-Tabela1[[#This Row],[Consumo]]</f>
        <v>2</v>
      </c>
      <c r="L222" s="7">
        <f>(Tabela1[[#This Row],[Valor total]]/Tabela1[[#This Row],[Estoque total]])*Tabela1[[#This Row],[Consumo]]</f>
        <v>2221.7999999999997</v>
      </c>
    </row>
    <row r="223" spans="1:12" x14ac:dyDescent="0.25">
      <c r="A223" t="s">
        <v>438</v>
      </c>
      <c r="B223" t="s">
        <v>439</v>
      </c>
      <c r="C223" t="s">
        <v>2</v>
      </c>
      <c r="D223" t="s">
        <v>3</v>
      </c>
      <c r="E223" t="s">
        <v>4</v>
      </c>
      <c r="F223" t="s">
        <v>5</v>
      </c>
      <c r="G223" s="2">
        <v>409</v>
      </c>
      <c r="H223" t="s">
        <v>6</v>
      </c>
      <c r="I223" s="6">
        <v>10417.57</v>
      </c>
      <c r="K223" s="4">
        <f>Tabela1[[#This Row],[Estoque total]]-Tabela1[[#This Row],[Consumo]]</f>
        <v>409</v>
      </c>
      <c r="L223" s="7">
        <f>(Tabela1[[#This Row],[Valor total]]/Tabela1[[#This Row],[Estoque total]])*Tabela1[[#This Row],[Consumo]]</f>
        <v>0</v>
      </c>
    </row>
    <row r="224" spans="1:12" x14ac:dyDescent="0.25">
      <c r="A224" t="s">
        <v>440</v>
      </c>
      <c r="B224" t="s">
        <v>441</v>
      </c>
      <c r="C224" t="s">
        <v>2</v>
      </c>
      <c r="D224" t="s">
        <v>3</v>
      </c>
      <c r="E224" t="s">
        <v>4</v>
      </c>
      <c r="F224" t="s">
        <v>5</v>
      </c>
      <c r="G224" s="2">
        <v>30</v>
      </c>
      <c r="H224" t="s">
        <v>6</v>
      </c>
      <c r="I224" s="6">
        <v>420</v>
      </c>
      <c r="K224" s="4">
        <f>Tabela1[[#This Row],[Estoque total]]-Tabela1[[#This Row],[Consumo]]</f>
        <v>30</v>
      </c>
      <c r="L224" s="7">
        <f>(Tabela1[[#This Row],[Valor total]]/Tabela1[[#This Row],[Estoque total]])*Tabela1[[#This Row],[Consumo]]</f>
        <v>0</v>
      </c>
    </row>
    <row r="225" spans="1:12" x14ac:dyDescent="0.25">
      <c r="A225" t="s">
        <v>442</v>
      </c>
      <c r="B225" t="s">
        <v>443</v>
      </c>
      <c r="C225" t="s">
        <v>2</v>
      </c>
      <c r="D225" t="s">
        <v>3</v>
      </c>
      <c r="E225" t="s">
        <v>4</v>
      </c>
      <c r="F225" t="s">
        <v>5</v>
      </c>
      <c r="G225" s="2">
        <v>360</v>
      </c>
      <c r="H225" t="s">
        <v>6</v>
      </c>
      <c r="I225" s="6">
        <v>4225.7700000000004</v>
      </c>
      <c r="J225">
        <v>42</v>
      </c>
      <c r="K225" s="4">
        <f>Tabela1[[#This Row],[Estoque total]]-Tabela1[[#This Row],[Consumo]]</f>
        <v>318</v>
      </c>
      <c r="L225" s="7">
        <f>(Tabela1[[#This Row],[Valor total]]/Tabela1[[#This Row],[Estoque total]])*Tabela1[[#This Row],[Consumo]]</f>
        <v>493.00650000000002</v>
      </c>
    </row>
    <row r="226" spans="1:12" x14ac:dyDescent="0.25">
      <c r="A226" t="s">
        <v>444</v>
      </c>
      <c r="B226" t="s">
        <v>445</v>
      </c>
      <c r="C226" t="s">
        <v>2</v>
      </c>
      <c r="D226" t="s">
        <v>3</v>
      </c>
      <c r="E226" t="s">
        <v>4</v>
      </c>
      <c r="F226" t="s">
        <v>5</v>
      </c>
      <c r="G226" s="2">
        <v>51</v>
      </c>
      <c r="H226" t="s">
        <v>6</v>
      </c>
      <c r="I226" s="6">
        <v>2939.77</v>
      </c>
      <c r="K226" s="4">
        <f>Tabela1[[#This Row],[Estoque total]]-Tabela1[[#This Row],[Consumo]]</f>
        <v>51</v>
      </c>
      <c r="L226" s="7">
        <f>(Tabela1[[#This Row],[Valor total]]/Tabela1[[#This Row],[Estoque total]])*Tabela1[[#This Row],[Consumo]]</f>
        <v>0</v>
      </c>
    </row>
    <row r="227" spans="1:12" x14ac:dyDescent="0.25">
      <c r="A227" t="s">
        <v>446</v>
      </c>
      <c r="B227" t="s">
        <v>447</v>
      </c>
      <c r="C227" t="s">
        <v>2</v>
      </c>
      <c r="D227" t="s">
        <v>3</v>
      </c>
      <c r="E227" t="s">
        <v>4</v>
      </c>
      <c r="F227" t="s">
        <v>5</v>
      </c>
      <c r="G227" s="2">
        <v>5</v>
      </c>
      <c r="H227" t="s">
        <v>6</v>
      </c>
      <c r="I227" s="6">
        <v>323</v>
      </c>
      <c r="K227" s="4">
        <f>Tabela1[[#This Row],[Estoque total]]-Tabela1[[#This Row],[Consumo]]</f>
        <v>5</v>
      </c>
      <c r="L227" s="7">
        <f>(Tabela1[[#This Row],[Valor total]]/Tabela1[[#This Row],[Estoque total]])*Tabela1[[#This Row],[Consumo]]</f>
        <v>0</v>
      </c>
    </row>
    <row r="228" spans="1:12" x14ac:dyDescent="0.25">
      <c r="A228" t="s">
        <v>448</v>
      </c>
      <c r="B228" t="s">
        <v>449</v>
      </c>
      <c r="C228" t="s">
        <v>2</v>
      </c>
      <c r="D228" t="s">
        <v>3</v>
      </c>
      <c r="E228" t="s">
        <v>4</v>
      </c>
      <c r="F228" t="s">
        <v>5</v>
      </c>
      <c r="G228" s="2">
        <v>12</v>
      </c>
      <c r="H228" t="s">
        <v>6</v>
      </c>
      <c r="I228" s="6">
        <v>571.79999999999995</v>
      </c>
      <c r="K228" s="4">
        <f>Tabela1[[#This Row],[Estoque total]]-Tabela1[[#This Row],[Consumo]]</f>
        <v>12</v>
      </c>
      <c r="L228" s="7">
        <f>(Tabela1[[#This Row],[Valor total]]/Tabela1[[#This Row],[Estoque total]])*Tabela1[[#This Row],[Consumo]]</f>
        <v>0</v>
      </c>
    </row>
    <row r="229" spans="1:12" x14ac:dyDescent="0.25">
      <c r="A229" t="s">
        <v>450</v>
      </c>
      <c r="B229" t="s">
        <v>451</v>
      </c>
      <c r="C229" t="s">
        <v>2</v>
      </c>
      <c r="D229" t="s">
        <v>3</v>
      </c>
      <c r="E229" t="s">
        <v>4</v>
      </c>
      <c r="F229" t="s">
        <v>5</v>
      </c>
      <c r="G229" s="2">
        <v>16</v>
      </c>
      <c r="H229" t="s">
        <v>6</v>
      </c>
      <c r="I229" s="6">
        <v>225.6</v>
      </c>
      <c r="K229" s="4">
        <f>Tabela1[[#This Row],[Estoque total]]-Tabela1[[#This Row],[Consumo]]</f>
        <v>16</v>
      </c>
      <c r="L229" s="7">
        <f>(Tabela1[[#This Row],[Valor total]]/Tabela1[[#This Row],[Estoque total]])*Tabela1[[#This Row],[Consumo]]</f>
        <v>0</v>
      </c>
    </row>
    <row r="230" spans="1:12" x14ac:dyDescent="0.25">
      <c r="A230" t="s">
        <v>452</v>
      </c>
      <c r="B230" t="s">
        <v>453</v>
      </c>
      <c r="C230" t="s">
        <v>2</v>
      </c>
      <c r="D230" t="s">
        <v>3</v>
      </c>
      <c r="E230" t="s">
        <v>4</v>
      </c>
      <c r="F230" t="s">
        <v>5</v>
      </c>
      <c r="G230" s="2">
        <v>274</v>
      </c>
      <c r="H230" t="s">
        <v>6</v>
      </c>
      <c r="I230" s="6">
        <v>8115.29</v>
      </c>
      <c r="K230" s="4">
        <f>Tabela1[[#This Row],[Estoque total]]-Tabela1[[#This Row],[Consumo]]</f>
        <v>274</v>
      </c>
      <c r="L230" s="7">
        <f>(Tabela1[[#This Row],[Valor total]]/Tabela1[[#This Row],[Estoque total]])*Tabela1[[#This Row],[Consumo]]</f>
        <v>0</v>
      </c>
    </row>
    <row r="231" spans="1:12" x14ac:dyDescent="0.25">
      <c r="A231" t="s">
        <v>454</v>
      </c>
      <c r="B231" t="s">
        <v>455</v>
      </c>
      <c r="C231" t="s">
        <v>2</v>
      </c>
      <c r="D231" t="s">
        <v>3</v>
      </c>
      <c r="E231" t="s">
        <v>4</v>
      </c>
      <c r="F231" t="s">
        <v>5</v>
      </c>
      <c r="G231" s="2">
        <v>13</v>
      </c>
      <c r="H231" t="s">
        <v>6</v>
      </c>
      <c r="I231" s="6">
        <v>245.7</v>
      </c>
      <c r="K231" s="4">
        <f>Tabela1[[#This Row],[Estoque total]]-Tabela1[[#This Row],[Consumo]]</f>
        <v>13</v>
      </c>
      <c r="L231" s="7">
        <f>(Tabela1[[#This Row],[Valor total]]/Tabela1[[#This Row],[Estoque total]])*Tabela1[[#This Row],[Consumo]]</f>
        <v>0</v>
      </c>
    </row>
    <row r="232" spans="1:12" x14ac:dyDescent="0.25">
      <c r="A232" t="s">
        <v>456</v>
      </c>
      <c r="B232" t="s">
        <v>457</v>
      </c>
      <c r="C232" t="s">
        <v>2</v>
      </c>
      <c r="D232" t="s">
        <v>3</v>
      </c>
      <c r="E232" t="s">
        <v>4</v>
      </c>
      <c r="F232" t="s">
        <v>5</v>
      </c>
      <c r="G232" s="2">
        <v>1</v>
      </c>
      <c r="H232" t="s">
        <v>6</v>
      </c>
      <c r="I232" s="6">
        <v>85.5</v>
      </c>
      <c r="K232" s="4">
        <f>Tabela1[[#This Row],[Estoque total]]-Tabela1[[#This Row],[Consumo]]</f>
        <v>1</v>
      </c>
      <c r="L232" s="7">
        <f>(Tabela1[[#This Row],[Valor total]]/Tabela1[[#This Row],[Estoque total]])*Tabela1[[#This Row],[Consumo]]</f>
        <v>0</v>
      </c>
    </row>
    <row r="233" spans="1:12" x14ac:dyDescent="0.25">
      <c r="A233" t="s">
        <v>458</v>
      </c>
      <c r="B233" t="s">
        <v>459</v>
      </c>
      <c r="C233" t="s">
        <v>2</v>
      </c>
      <c r="D233" t="s">
        <v>3</v>
      </c>
      <c r="E233" t="s">
        <v>4</v>
      </c>
      <c r="F233" t="s">
        <v>5</v>
      </c>
      <c r="G233" s="2">
        <v>1</v>
      </c>
      <c r="H233" t="s">
        <v>6</v>
      </c>
      <c r="I233" s="6">
        <v>85.32</v>
      </c>
      <c r="K233" s="4">
        <f>Tabela1[[#This Row],[Estoque total]]-Tabela1[[#This Row],[Consumo]]</f>
        <v>1</v>
      </c>
      <c r="L233" s="7">
        <f>(Tabela1[[#This Row],[Valor total]]/Tabela1[[#This Row],[Estoque total]])*Tabela1[[#This Row],[Consumo]]</f>
        <v>0</v>
      </c>
    </row>
    <row r="234" spans="1:12" x14ac:dyDescent="0.25">
      <c r="A234" t="s">
        <v>460</v>
      </c>
      <c r="B234" t="s">
        <v>461</v>
      </c>
      <c r="C234" t="s">
        <v>2</v>
      </c>
      <c r="D234" t="s">
        <v>3</v>
      </c>
      <c r="E234" t="s">
        <v>4</v>
      </c>
      <c r="F234" t="s">
        <v>5</v>
      </c>
      <c r="G234" s="2">
        <v>42</v>
      </c>
      <c r="H234" t="s">
        <v>6</v>
      </c>
      <c r="I234" s="6">
        <v>2611.0300000000002</v>
      </c>
      <c r="K234" s="4">
        <f>Tabela1[[#This Row],[Estoque total]]-Tabela1[[#This Row],[Consumo]]</f>
        <v>42</v>
      </c>
      <c r="L234" s="7">
        <f>(Tabela1[[#This Row],[Valor total]]/Tabela1[[#This Row],[Estoque total]])*Tabela1[[#This Row],[Consumo]]</f>
        <v>0</v>
      </c>
    </row>
    <row r="235" spans="1:12" x14ac:dyDescent="0.25">
      <c r="A235" t="s">
        <v>462</v>
      </c>
      <c r="B235" t="s">
        <v>463</v>
      </c>
      <c r="C235" t="s">
        <v>2</v>
      </c>
      <c r="D235" t="s">
        <v>3</v>
      </c>
      <c r="E235" t="s">
        <v>4</v>
      </c>
      <c r="F235" t="s">
        <v>5</v>
      </c>
      <c r="G235" s="2">
        <v>13</v>
      </c>
      <c r="H235" t="s">
        <v>6</v>
      </c>
      <c r="I235" s="6">
        <v>1060.8</v>
      </c>
      <c r="K235" s="4">
        <f>Tabela1[[#This Row],[Estoque total]]-Tabela1[[#This Row],[Consumo]]</f>
        <v>13</v>
      </c>
      <c r="L235" s="7">
        <f>(Tabela1[[#This Row],[Valor total]]/Tabela1[[#This Row],[Estoque total]])*Tabela1[[#This Row],[Consumo]]</f>
        <v>0</v>
      </c>
    </row>
    <row r="236" spans="1:12" x14ac:dyDescent="0.25">
      <c r="A236" t="s">
        <v>464</v>
      </c>
      <c r="B236" t="s">
        <v>465</v>
      </c>
      <c r="C236" t="s">
        <v>2</v>
      </c>
      <c r="D236" t="s">
        <v>3</v>
      </c>
      <c r="E236" t="s">
        <v>4</v>
      </c>
      <c r="F236" t="s">
        <v>5</v>
      </c>
      <c r="G236" s="2">
        <v>13</v>
      </c>
      <c r="H236" t="s">
        <v>6</v>
      </c>
      <c r="I236" s="6">
        <v>55.25</v>
      </c>
      <c r="K236" s="4">
        <f>Tabela1[[#This Row],[Estoque total]]-Tabela1[[#This Row],[Consumo]]</f>
        <v>13</v>
      </c>
      <c r="L236" s="7">
        <f>(Tabela1[[#This Row],[Valor total]]/Tabela1[[#This Row],[Estoque total]])*Tabela1[[#This Row],[Consumo]]</f>
        <v>0</v>
      </c>
    </row>
    <row r="237" spans="1:12" x14ac:dyDescent="0.25">
      <c r="A237" t="s">
        <v>466</v>
      </c>
      <c r="B237" t="s">
        <v>467</v>
      </c>
      <c r="C237" t="s">
        <v>2</v>
      </c>
      <c r="D237" t="s">
        <v>3</v>
      </c>
      <c r="E237" t="s">
        <v>4</v>
      </c>
      <c r="F237" t="s">
        <v>5</v>
      </c>
      <c r="G237" s="2">
        <v>32</v>
      </c>
      <c r="H237" t="s">
        <v>6</v>
      </c>
      <c r="I237" s="6">
        <v>3072</v>
      </c>
      <c r="K237" s="4">
        <f>Tabela1[[#This Row],[Estoque total]]-Tabela1[[#This Row],[Consumo]]</f>
        <v>32</v>
      </c>
      <c r="L237" s="7">
        <f>(Tabela1[[#This Row],[Valor total]]/Tabela1[[#This Row],[Estoque total]])*Tabela1[[#This Row],[Consumo]]</f>
        <v>0</v>
      </c>
    </row>
    <row r="238" spans="1:12" x14ac:dyDescent="0.25">
      <c r="A238" t="s">
        <v>468</v>
      </c>
      <c r="B238" t="s">
        <v>469</v>
      </c>
      <c r="C238" t="s">
        <v>2</v>
      </c>
      <c r="D238" t="s">
        <v>3</v>
      </c>
      <c r="E238" t="s">
        <v>4</v>
      </c>
      <c r="F238" t="s">
        <v>5</v>
      </c>
      <c r="G238" s="2">
        <v>276</v>
      </c>
      <c r="H238" t="s">
        <v>6</v>
      </c>
      <c r="I238" s="6">
        <v>30061.85</v>
      </c>
      <c r="K238" s="4">
        <f>Tabela1[[#This Row],[Estoque total]]-Tabela1[[#This Row],[Consumo]]</f>
        <v>276</v>
      </c>
      <c r="L238" s="7">
        <f>(Tabela1[[#This Row],[Valor total]]/Tabela1[[#This Row],[Estoque total]])*Tabela1[[#This Row],[Consumo]]</f>
        <v>0</v>
      </c>
    </row>
    <row r="239" spans="1:12" x14ac:dyDescent="0.25">
      <c r="A239" t="s">
        <v>470</v>
      </c>
      <c r="B239" t="s">
        <v>471</v>
      </c>
      <c r="C239" t="s">
        <v>2</v>
      </c>
      <c r="D239" t="s">
        <v>3</v>
      </c>
      <c r="E239" t="s">
        <v>4</v>
      </c>
      <c r="F239" t="s">
        <v>5</v>
      </c>
      <c r="G239" s="2">
        <v>128</v>
      </c>
      <c r="H239" t="s">
        <v>6</v>
      </c>
      <c r="I239" s="6">
        <v>7132.41</v>
      </c>
      <c r="K239" s="4">
        <f>Tabela1[[#This Row],[Estoque total]]-Tabela1[[#This Row],[Consumo]]</f>
        <v>128</v>
      </c>
      <c r="L239" s="7">
        <f>(Tabela1[[#This Row],[Valor total]]/Tabela1[[#This Row],[Estoque total]])*Tabela1[[#This Row],[Consumo]]</f>
        <v>0</v>
      </c>
    </row>
    <row r="240" spans="1:12" x14ac:dyDescent="0.25">
      <c r="A240" t="s">
        <v>472</v>
      </c>
      <c r="B240" t="s">
        <v>473</v>
      </c>
      <c r="C240" t="s">
        <v>2</v>
      </c>
      <c r="D240" t="s">
        <v>3</v>
      </c>
      <c r="E240" t="s">
        <v>4</v>
      </c>
      <c r="F240" t="s">
        <v>5</v>
      </c>
      <c r="G240" s="2">
        <v>271</v>
      </c>
      <c r="H240" t="s">
        <v>6</v>
      </c>
      <c r="I240" s="6">
        <v>12613.94</v>
      </c>
      <c r="K240" s="4">
        <f>Tabela1[[#This Row],[Estoque total]]-Tabela1[[#This Row],[Consumo]]</f>
        <v>271</v>
      </c>
      <c r="L240" s="7">
        <f>(Tabela1[[#This Row],[Valor total]]/Tabela1[[#This Row],[Estoque total]])*Tabela1[[#This Row],[Consumo]]</f>
        <v>0</v>
      </c>
    </row>
    <row r="241" spans="1:12" x14ac:dyDescent="0.25">
      <c r="A241" t="s">
        <v>474</v>
      </c>
      <c r="B241" t="s">
        <v>475</v>
      </c>
      <c r="C241" t="s">
        <v>2</v>
      </c>
      <c r="D241" t="s">
        <v>3</v>
      </c>
      <c r="E241" t="s">
        <v>4</v>
      </c>
      <c r="F241" t="s">
        <v>5</v>
      </c>
      <c r="G241" s="2">
        <v>235</v>
      </c>
      <c r="H241" t="s">
        <v>6</v>
      </c>
      <c r="I241" s="6">
        <v>12090.37</v>
      </c>
      <c r="K241" s="4">
        <f>Tabela1[[#This Row],[Estoque total]]-Tabela1[[#This Row],[Consumo]]</f>
        <v>235</v>
      </c>
      <c r="L241" s="7">
        <f>(Tabela1[[#This Row],[Valor total]]/Tabela1[[#This Row],[Estoque total]])*Tabela1[[#This Row],[Consumo]]</f>
        <v>0</v>
      </c>
    </row>
    <row r="242" spans="1:12" x14ac:dyDescent="0.25">
      <c r="A242" t="s">
        <v>476</v>
      </c>
      <c r="B242" t="s">
        <v>477</v>
      </c>
      <c r="C242" t="s">
        <v>2</v>
      </c>
      <c r="D242" t="s">
        <v>3</v>
      </c>
      <c r="E242" t="s">
        <v>4</v>
      </c>
      <c r="F242" t="s">
        <v>5</v>
      </c>
      <c r="G242" s="2">
        <v>170</v>
      </c>
      <c r="H242" t="s">
        <v>6</v>
      </c>
      <c r="I242" s="6">
        <v>6494.58</v>
      </c>
      <c r="J242">
        <v>3</v>
      </c>
      <c r="K242" s="4">
        <f>Tabela1[[#This Row],[Estoque total]]-Tabela1[[#This Row],[Consumo]]</f>
        <v>167</v>
      </c>
      <c r="L242" s="7">
        <f>(Tabela1[[#This Row],[Valor total]]/Tabela1[[#This Row],[Estoque total]])*Tabela1[[#This Row],[Consumo]]</f>
        <v>114.61023529411764</v>
      </c>
    </row>
    <row r="243" spans="1:12" x14ac:dyDescent="0.25">
      <c r="A243" t="s">
        <v>478</v>
      </c>
      <c r="B243" t="s">
        <v>479</v>
      </c>
      <c r="C243" t="s">
        <v>2</v>
      </c>
      <c r="D243" t="s">
        <v>3</v>
      </c>
      <c r="E243" t="s">
        <v>4</v>
      </c>
      <c r="F243" t="s">
        <v>19</v>
      </c>
      <c r="G243" s="2">
        <v>1</v>
      </c>
      <c r="H243" t="s">
        <v>6</v>
      </c>
      <c r="I243" s="6">
        <v>595</v>
      </c>
      <c r="K243" s="4">
        <f>Tabela1[[#This Row],[Estoque total]]-Tabela1[[#This Row],[Consumo]]</f>
        <v>1</v>
      </c>
      <c r="L243" s="7">
        <f>(Tabela1[[#This Row],[Valor total]]/Tabela1[[#This Row],[Estoque total]])*Tabela1[[#This Row],[Consumo]]</f>
        <v>0</v>
      </c>
    </row>
    <row r="244" spans="1:12" x14ac:dyDescent="0.25">
      <c r="A244" t="s">
        <v>478</v>
      </c>
      <c r="B244" t="s">
        <v>479</v>
      </c>
      <c r="C244" t="s">
        <v>2</v>
      </c>
      <c r="D244" t="s">
        <v>3</v>
      </c>
      <c r="E244" t="s">
        <v>4</v>
      </c>
      <c r="F244" t="s">
        <v>5</v>
      </c>
      <c r="G244" s="2">
        <v>22</v>
      </c>
      <c r="H244" t="s">
        <v>6</v>
      </c>
      <c r="I244" s="6">
        <v>10643.74</v>
      </c>
      <c r="K244" s="4">
        <f>Tabela1[[#This Row],[Estoque total]]-Tabela1[[#This Row],[Consumo]]</f>
        <v>22</v>
      </c>
      <c r="L244" s="7">
        <f>(Tabela1[[#This Row],[Valor total]]/Tabela1[[#This Row],[Estoque total]])*Tabela1[[#This Row],[Consumo]]</f>
        <v>0</v>
      </c>
    </row>
    <row r="245" spans="1:12" x14ac:dyDescent="0.25">
      <c r="A245" t="s">
        <v>480</v>
      </c>
      <c r="B245" t="s">
        <v>481</v>
      </c>
      <c r="C245" t="s">
        <v>2</v>
      </c>
      <c r="D245" t="s">
        <v>3</v>
      </c>
      <c r="E245" t="s">
        <v>4</v>
      </c>
      <c r="F245" t="s">
        <v>5</v>
      </c>
      <c r="G245" s="2">
        <v>1</v>
      </c>
      <c r="H245" t="s">
        <v>6</v>
      </c>
      <c r="I245" s="6">
        <v>1251.08</v>
      </c>
      <c r="K245" s="4">
        <f>Tabela1[[#This Row],[Estoque total]]-Tabela1[[#This Row],[Consumo]]</f>
        <v>1</v>
      </c>
      <c r="L245" s="7">
        <f>(Tabela1[[#This Row],[Valor total]]/Tabela1[[#This Row],[Estoque total]])*Tabela1[[#This Row],[Consumo]]</f>
        <v>0</v>
      </c>
    </row>
    <row r="246" spans="1:12" x14ac:dyDescent="0.25">
      <c r="A246" t="s">
        <v>482</v>
      </c>
      <c r="B246" t="s">
        <v>483</v>
      </c>
      <c r="C246" t="s">
        <v>2</v>
      </c>
      <c r="D246" t="s">
        <v>3</v>
      </c>
      <c r="E246" t="s">
        <v>4</v>
      </c>
      <c r="F246" t="s">
        <v>5</v>
      </c>
      <c r="G246" s="2">
        <v>39</v>
      </c>
      <c r="H246" t="s">
        <v>6</v>
      </c>
      <c r="I246" s="6">
        <v>3412.5</v>
      </c>
      <c r="K246" s="4">
        <f>Tabela1[[#This Row],[Estoque total]]-Tabela1[[#This Row],[Consumo]]</f>
        <v>39</v>
      </c>
      <c r="L246" s="7">
        <f>(Tabela1[[#This Row],[Valor total]]/Tabela1[[#This Row],[Estoque total]])*Tabela1[[#This Row],[Consumo]]</f>
        <v>0</v>
      </c>
    </row>
    <row r="247" spans="1:12" x14ac:dyDescent="0.25">
      <c r="A247" t="s">
        <v>484</v>
      </c>
      <c r="B247" t="s">
        <v>485</v>
      </c>
      <c r="C247" t="s">
        <v>2</v>
      </c>
      <c r="D247" t="s">
        <v>3</v>
      </c>
      <c r="E247" t="s">
        <v>4</v>
      </c>
      <c r="F247" t="s">
        <v>5</v>
      </c>
      <c r="G247" s="2">
        <v>8000</v>
      </c>
      <c r="H247" t="s">
        <v>6</v>
      </c>
      <c r="I247" s="6">
        <v>16720</v>
      </c>
      <c r="K247" s="4">
        <f>Tabela1[[#This Row],[Estoque total]]-Tabela1[[#This Row],[Consumo]]</f>
        <v>8000</v>
      </c>
      <c r="L247" s="7">
        <f>(Tabela1[[#This Row],[Valor total]]/Tabela1[[#This Row],[Estoque total]])*Tabela1[[#This Row],[Consumo]]</f>
        <v>0</v>
      </c>
    </row>
    <row r="248" spans="1:12" x14ac:dyDescent="0.25">
      <c r="A248" t="s">
        <v>486</v>
      </c>
      <c r="B248" t="s">
        <v>487</v>
      </c>
      <c r="C248" t="s">
        <v>2</v>
      </c>
      <c r="D248" t="s">
        <v>3</v>
      </c>
      <c r="E248" t="s">
        <v>4</v>
      </c>
      <c r="F248" t="s">
        <v>5</v>
      </c>
      <c r="G248" s="2">
        <v>8000</v>
      </c>
      <c r="H248" t="s">
        <v>6</v>
      </c>
      <c r="I248" s="6">
        <v>17440</v>
      </c>
      <c r="K248" s="4">
        <f>Tabela1[[#This Row],[Estoque total]]-Tabela1[[#This Row],[Consumo]]</f>
        <v>8000</v>
      </c>
      <c r="L248" s="7">
        <f>(Tabela1[[#This Row],[Valor total]]/Tabela1[[#This Row],[Estoque total]])*Tabela1[[#This Row],[Consumo]]</f>
        <v>0</v>
      </c>
    </row>
    <row r="249" spans="1:12" x14ac:dyDescent="0.25">
      <c r="A249" t="s">
        <v>488</v>
      </c>
      <c r="B249" t="s">
        <v>489</v>
      </c>
      <c r="C249" t="s">
        <v>2</v>
      </c>
      <c r="D249" t="s">
        <v>3</v>
      </c>
      <c r="E249" t="s">
        <v>4</v>
      </c>
      <c r="F249" t="s">
        <v>5</v>
      </c>
      <c r="G249" s="2">
        <v>5740</v>
      </c>
      <c r="H249" t="s">
        <v>6</v>
      </c>
      <c r="I249" s="6">
        <v>11422.6</v>
      </c>
      <c r="K249" s="4">
        <f>Tabela1[[#This Row],[Estoque total]]-Tabela1[[#This Row],[Consumo]]</f>
        <v>5740</v>
      </c>
      <c r="L249" s="7">
        <f>(Tabela1[[#This Row],[Valor total]]/Tabela1[[#This Row],[Estoque total]])*Tabela1[[#This Row],[Consumo]]</f>
        <v>0</v>
      </c>
    </row>
    <row r="250" spans="1:12" x14ac:dyDescent="0.25">
      <c r="A250" t="s">
        <v>490</v>
      </c>
      <c r="B250" t="s">
        <v>491</v>
      </c>
      <c r="C250" t="s">
        <v>2</v>
      </c>
      <c r="D250" t="s">
        <v>3</v>
      </c>
      <c r="E250" t="s">
        <v>4</v>
      </c>
      <c r="F250" t="s">
        <v>5</v>
      </c>
      <c r="G250" s="2">
        <v>8</v>
      </c>
      <c r="H250" t="s">
        <v>6</v>
      </c>
      <c r="I250" s="6">
        <v>222.4</v>
      </c>
      <c r="K250" s="4">
        <f>Tabela1[[#This Row],[Estoque total]]-Tabela1[[#This Row],[Consumo]]</f>
        <v>8</v>
      </c>
      <c r="L250" s="7">
        <f>(Tabela1[[#This Row],[Valor total]]/Tabela1[[#This Row],[Estoque total]])*Tabela1[[#This Row],[Consumo]]</f>
        <v>0</v>
      </c>
    </row>
    <row r="251" spans="1:12" x14ac:dyDescent="0.25">
      <c r="A251" t="s">
        <v>492</v>
      </c>
      <c r="B251" t="s">
        <v>493</v>
      </c>
      <c r="C251" t="s">
        <v>2</v>
      </c>
      <c r="D251" t="s">
        <v>3</v>
      </c>
      <c r="E251" t="s">
        <v>4</v>
      </c>
      <c r="F251" t="s">
        <v>5</v>
      </c>
      <c r="G251" s="2">
        <v>217</v>
      </c>
      <c r="H251" t="s">
        <v>6</v>
      </c>
      <c r="I251" s="6">
        <v>14799.4</v>
      </c>
      <c r="K251" s="4">
        <f>Tabela1[[#This Row],[Estoque total]]-Tabela1[[#This Row],[Consumo]]</f>
        <v>217</v>
      </c>
      <c r="L251" s="7">
        <f>(Tabela1[[#This Row],[Valor total]]/Tabela1[[#This Row],[Estoque total]])*Tabela1[[#This Row],[Consumo]]</f>
        <v>0</v>
      </c>
    </row>
    <row r="252" spans="1:12" x14ac:dyDescent="0.25">
      <c r="A252" t="s">
        <v>494</v>
      </c>
      <c r="B252" t="s">
        <v>495</v>
      </c>
      <c r="C252" t="s">
        <v>2</v>
      </c>
      <c r="D252" t="s">
        <v>3</v>
      </c>
      <c r="E252" t="s">
        <v>4</v>
      </c>
      <c r="F252" t="s">
        <v>5</v>
      </c>
      <c r="G252" s="2">
        <v>18</v>
      </c>
      <c r="H252" t="s">
        <v>6</v>
      </c>
      <c r="I252" s="6">
        <v>1535.36</v>
      </c>
      <c r="K252" s="4">
        <f>Tabela1[[#This Row],[Estoque total]]-Tabela1[[#This Row],[Consumo]]</f>
        <v>18</v>
      </c>
      <c r="L252" s="7">
        <f>(Tabela1[[#This Row],[Valor total]]/Tabela1[[#This Row],[Estoque total]])*Tabela1[[#This Row],[Consumo]]</f>
        <v>0</v>
      </c>
    </row>
    <row r="253" spans="1:12" x14ac:dyDescent="0.25">
      <c r="A253" t="s">
        <v>496</v>
      </c>
      <c r="B253" t="s">
        <v>497</v>
      </c>
      <c r="C253" t="s">
        <v>2</v>
      </c>
      <c r="D253" t="s">
        <v>3</v>
      </c>
      <c r="E253" t="s">
        <v>4</v>
      </c>
      <c r="F253" t="s">
        <v>5</v>
      </c>
      <c r="G253" s="2">
        <v>248</v>
      </c>
      <c r="H253" t="s">
        <v>6</v>
      </c>
      <c r="I253" s="6">
        <v>5704</v>
      </c>
      <c r="K253" s="4">
        <f>Tabela1[[#This Row],[Estoque total]]-Tabela1[[#This Row],[Consumo]]</f>
        <v>248</v>
      </c>
      <c r="L253" s="7">
        <f>(Tabela1[[#This Row],[Valor total]]/Tabela1[[#This Row],[Estoque total]])*Tabela1[[#This Row],[Consumo]]</f>
        <v>0</v>
      </c>
    </row>
    <row r="254" spans="1:12" x14ac:dyDescent="0.25">
      <c r="A254" t="s">
        <v>498</v>
      </c>
      <c r="B254" t="s">
        <v>499</v>
      </c>
      <c r="C254" t="s">
        <v>2</v>
      </c>
      <c r="D254" t="s">
        <v>3</v>
      </c>
      <c r="E254" t="s">
        <v>4</v>
      </c>
      <c r="F254" t="s">
        <v>5</v>
      </c>
      <c r="G254" s="2">
        <v>8</v>
      </c>
      <c r="H254" t="s">
        <v>6</v>
      </c>
      <c r="I254" s="6">
        <v>296</v>
      </c>
      <c r="K254" s="4">
        <f>Tabela1[[#This Row],[Estoque total]]-Tabela1[[#This Row],[Consumo]]</f>
        <v>8</v>
      </c>
      <c r="L254" s="7">
        <f>(Tabela1[[#This Row],[Valor total]]/Tabela1[[#This Row],[Estoque total]])*Tabela1[[#This Row],[Consumo]]</f>
        <v>0</v>
      </c>
    </row>
    <row r="255" spans="1:12" x14ac:dyDescent="0.25">
      <c r="A255" t="s">
        <v>500</v>
      </c>
      <c r="B255" t="s">
        <v>501</v>
      </c>
      <c r="C255" t="s">
        <v>2</v>
      </c>
      <c r="D255" t="s">
        <v>3</v>
      </c>
      <c r="E255" t="s">
        <v>4</v>
      </c>
      <c r="F255" t="s">
        <v>5</v>
      </c>
      <c r="G255" s="2">
        <v>10</v>
      </c>
      <c r="H255" t="s">
        <v>6</v>
      </c>
      <c r="I255" s="6">
        <v>17950</v>
      </c>
      <c r="K255" s="4">
        <f>Tabela1[[#This Row],[Estoque total]]-Tabela1[[#This Row],[Consumo]]</f>
        <v>10</v>
      </c>
      <c r="L255" s="7">
        <f>(Tabela1[[#This Row],[Valor total]]/Tabela1[[#This Row],[Estoque total]])*Tabela1[[#This Row],[Consumo]]</f>
        <v>0</v>
      </c>
    </row>
    <row r="256" spans="1:12" x14ac:dyDescent="0.25">
      <c r="A256" t="s">
        <v>502</v>
      </c>
      <c r="B256" t="s">
        <v>503</v>
      </c>
      <c r="C256" t="s">
        <v>2</v>
      </c>
      <c r="D256" t="s">
        <v>3</v>
      </c>
      <c r="E256" t="s">
        <v>4</v>
      </c>
      <c r="F256" t="s">
        <v>19</v>
      </c>
      <c r="G256" s="2">
        <v>6</v>
      </c>
      <c r="H256" t="s">
        <v>6</v>
      </c>
      <c r="I256" s="6">
        <v>69</v>
      </c>
      <c r="K256" s="4">
        <f>Tabela1[[#This Row],[Estoque total]]-Tabela1[[#This Row],[Consumo]]</f>
        <v>6</v>
      </c>
      <c r="L256" s="7">
        <f>(Tabela1[[#This Row],[Valor total]]/Tabela1[[#This Row],[Estoque total]])*Tabela1[[#This Row],[Consumo]]</f>
        <v>0</v>
      </c>
    </row>
    <row r="257" spans="1:12" x14ac:dyDescent="0.25">
      <c r="A257" t="s">
        <v>502</v>
      </c>
      <c r="B257" t="s">
        <v>503</v>
      </c>
      <c r="C257" t="s">
        <v>2</v>
      </c>
      <c r="D257" t="s">
        <v>3</v>
      </c>
      <c r="E257" t="s">
        <v>4</v>
      </c>
      <c r="F257" t="s">
        <v>5</v>
      </c>
      <c r="G257" s="2">
        <v>354</v>
      </c>
      <c r="H257" t="s">
        <v>6</v>
      </c>
      <c r="I257" s="6">
        <v>3009</v>
      </c>
      <c r="K257" s="4">
        <f>Tabela1[[#This Row],[Estoque total]]-Tabela1[[#This Row],[Consumo]]</f>
        <v>354</v>
      </c>
      <c r="L257" s="7">
        <f>(Tabela1[[#This Row],[Valor total]]/Tabela1[[#This Row],[Estoque total]])*Tabela1[[#This Row],[Consumo]]</f>
        <v>0</v>
      </c>
    </row>
    <row r="258" spans="1:12" x14ac:dyDescent="0.25">
      <c r="A258" t="s">
        <v>504</v>
      </c>
      <c r="B258" t="s">
        <v>505</v>
      </c>
      <c r="C258" t="s">
        <v>2</v>
      </c>
      <c r="D258" t="s">
        <v>3</v>
      </c>
      <c r="E258" t="s">
        <v>4</v>
      </c>
      <c r="F258" t="s">
        <v>5</v>
      </c>
      <c r="G258" s="2">
        <v>12900</v>
      </c>
      <c r="H258" t="s">
        <v>6</v>
      </c>
      <c r="I258" s="6">
        <v>10191</v>
      </c>
      <c r="K258" s="4">
        <f>Tabela1[[#This Row],[Estoque total]]-Tabela1[[#This Row],[Consumo]]</f>
        <v>12900</v>
      </c>
      <c r="L258" s="7">
        <f>(Tabela1[[#This Row],[Valor total]]/Tabela1[[#This Row],[Estoque total]])*Tabela1[[#This Row],[Consumo]]</f>
        <v>0</v>
      </c>
    </row>
    <row r="259" spans="1:12" x14ac:dyDescent="0.25">
      <c r="A259" t="s">
        <v>506</v>
      </c>
      <c r="B259" t="s">
        <v>507</v>
      </c>
      <c r="C259" t="s">
        <v>2</v>
      </c>
      <c r="D259" t="s">
        <v>3</v>
      </c>
      <c r="E259" t="s">
        <v>4</v>
      </c>
      <c r="F259" t="s">
        <v>19</v>
      </c>
      <c r="G259" s="2">
        <v>650</v>
      </c>
      <c r="H259" t="s">
        <v>6</v>
      </c>
      <c r="I259" s="6">
        <v>903.5</v>
      </c>
      <c r="K259" s="4">
        <f>Tabela1[[#This Row],[Estoque total]]-Tabela1[[#This Row],[Consumo]]</f>
        <v>650</v>
      </c>
      <c r="L259" s="7">
        <f>(Tabela1[[#This Row],[Valor total]]/Tabela1[[#This Row],[Estoque total]])*Tabela1[[#This Row],[Consumo]]</f>
        <v>0</v>
      </c>
    </row>
    <row r="260" spans="1:12" x14ac:dyDescent="0.25">
      <c r="A260" t="s">
        <v>506</v>
      </c>
      <c r="B260" t="s">
        <v>507</v>
      </c>
      <c r="C260" t="s">
        <v>2</v>
      </c>
      <c r="D260" t="s">
        <v>3</v>
      </c>
      <c r="E260" t="s">
        <v>4</v>
      </c>
      <c r="F260" t="s">
        <v>5</v>
      </c>
      <c r="G260" s="2">
        <v>1500</v>
      </c>
      <c r="H260" t="s">
        <v>6</v>
      </c>
      <c r="I260" s="6">
        <v>1380</v>
      </c>
      <c r="K260" s="4">
        <f>Tabela1[[#This Row],[Estoque total]]-Tabela1[[#This Row],[Consumo]]</f>
        <v>1500</v>
      </c>
      <c r="L260" s="7">
        <f>(Tabela1[[#This Row],[Valor total]]/Tabela1[[#This Row],[Estoque total]])*Tabela1[[#This Row],[Consumo]]</f>
        <v>0</v>
      </c>
    </row>
    <row r="261" spans="1:12" x14ac:dyDescent="0.25">
      <c r="A261" t="s">
        <v>508</v>
      </c>
      <c r="B261" t="s">
        <v>509</v>
      </c>
      <c r="C261" t="s">
        <v>2</v>
      </c>
      <c r="D261" t="s">
        <v>3</v>
      </c>
      <c r="E261" t="s">
        <v>4</v>
      </c>
      <c r="F261" t="s">
        <v>5</v>
      </c>
      <c r="G261" s="2">
        <v>150</v>
      </c>
      <c r="H261" t="s">
        <v>6</v>
      </c>
      <c r="I261" s="6">
        <v>157.5</v>
      </c>
      <c r="K261" s="4">
        <f>Tabela1[[#This Row],[Estoque total]]-Tabela1[[#This Row],[Consumo]]</f>
        <v>150</v>
      </c>
      <c r="L261" s="7">
        <f>(Tabela1[[#This Row],[Valor total]]/Tabela1[[#This Row],[Estoque total]])*Tabela1[[#This Row],[Consumo]]</f>
        <v>0</v>
      </c>
    </row>
    <row r="262" spans="1:12" x14ac:dyDescent="0.25">
      <c r="A262" t="s">
        <v>510</v>
      </c>
      <c r="B262" t="s">
        <v>511</v>
      </c>
      <c r="C262" t="s">
        <v>2</v>
      </c>
      <c r="D262" t="s">
        <v>3</v>
      </c>
      <c r="E262" t="s">
        <v>4</v>
      </c>
      <c r="F262" t="s">
        <v>19</v>
      </c>
      <c r="G262" s="2">
        <v>92</v>
      </c>
      <c r="H262" t="s">
        <v>6</v>
      </c>
      <c r="I262" s="6">
        <v>572.24</v>
      </c>
      <c r="K262" s="4">
        <f>Tabela1[[#This Row],[Estoque total]]-Tabela1[[#This Row],[Consumo]]</f>
        <v>92</v>
      </c>
      <c r="L262" s="7">
        <f>(Tabela1[[#This Row],[Valor total]]/Tabela1[[#This Row],[Estoque total]])*Tabela1[[#This Row],[Consumo]]</f>
        <v>0</v>
      </c>
    </row>
    <row r="263" spans="1:12" x14ac:dyDescent="0.25">
      <c r="A263" t="s">
        <v>512</v>
      </c>
      <c r="B263" t="s">
        <v>513</v>
      </c>
      <c r="C263" t="s">
        <v>2</v>
      </c>
      <c r="D263" t="s">
        <v>3</v>
      </c>
      <c r="E263" t="s">
        <v>4</v>
      </c>
      <c r="F263" t="s">
        <v>5</v>
      </c>
      <c r="G263" s="2">
        <v>1</v>
      </c>
      <c r="H263" t="s">
        <v>6</v>
      </c>
      <c r="I263" s="6">
        <v>2.2400000000000002</v>
      </c>
      <c r="J263">
        <v>1</v>
      </c>
      <c r="K263" s="4">
        <f>Tabela1[[#This Row],[Estoque total]]-Tabela1[[#This Row],[Consumo]]</f>
        <v>0</v>
      </c>
      <c r="L263" s="7">
        <f>(Tabela1[[#This Row],[Valor total]]/Tabela1[[#This Row],[Estoque total]])*Tabela1[[#This Row],[Consumo]]</f>
        <v>2.2400000000000002</v>
      </c>
    </row>
    <row r="264" spans="1:12" x14ac:dyDescent="0.25">
      <c r="A264" t="s">
        <v>514</v>
      </c>
      <c r="B264" t="s">
        <v>515</v>
      </c>
      <c r="C264" t="s">
        <v>2</v>
      </c>
      <c r="D264" t="s">
        <v>3</v>
      </c>
      <c r="E264" t="s">
        <v>4</v>
      </c>
      <c r="F264" t="s">
        <v>5</v>
      </c>
      <c r="G264" s="2">
        <v>4</v>
      </c>
      <c r="H264" t="s">
        <v>6</v>
      </c>
      <c r="I264" s="6">
        <v>31.28</v>
      </c>
      <c r="K264" s="4">
        <f>Tabela1[[#This Row],[Estoque total]]-Tabela1[[#This Row],[Consumo]]</f>
        <v>4</v>
      </c>
      <c r="L264" s="7">
        <f>(Tabela1[[#This Row],[Valor total]]/Tabela1[[#This Row],[Estoque total]])*Tabela1[[#This Row],[Consumo]]</f>
        <v>0</v>
      </c>
    </row>
    <row r="265" spans="1:12" x14ac:dyDescent="0.25">
      <c r="A265" t="s">
        <v>516</v>
      </c>
      <c r="B265" t="s">
        <v>517</v>
      </c>
      <c r="C265" t="s">
        <v>2</v>
      </c>
      <c r="D265" t="s">
        <v>3</v>
      </c>
      <c r="E265" t="s">
        <v>4</v>
      </c>
      <c r="F265" t="s">
        <v>5</v>
      </c>
      <c r="G265" s="2">
        <v>4</v>
      </c>
      <c r="H265" t="s">
        <v>6</v>
      </c>
      <c r="I265" s="6">
        <v>17718.189999999999</v>
      </c>
      <c r="K265" s="4">
        <f>Tabela1[[#This Row],[Estoque total]]-Tabela1[[#This Row],[Consumo]]</f>
        <v>4</v>
      </c>
      <c r="L265" s="7">
        <f>(Tabela1[[#This Row],[Valor total]]/Tabela1[[#This Row],[Estoque total]])*Tabela1[[#This Row],[Consumo]]</f>
        <v>0</v>
      </c>
    </row>
    <row r="266" spans="1:12" x14ac:dyDescent="0.25">
      <c r="A266" t="s">
        <v>518</v>
      </c>
      <c r="B266" t="s">
        <v>519</v>
      </c>
      <c r="C266" t="s">
        <v>2</v>
      </c>
      <c r="D266" t="s">
        <v>3</v>
      </c>
      <c r="E266" t="s">
        <v>4</v>
      </c>
      <c r="F266" t="s">
        <v>5</v>
      </c>
      <c r="G266" s="2">
        <v>4</v>
      </c>
      <c r="H266" t="s">
        <v>6</v>
      </c>
      <c r="I266" s="6">
        <v>24.77</v>
      </c>
      <c r="J266">
        <v>4</v>
      </c>
      <c r="K266" s="4">
        <f>Tabela1[[#This Row],[Estoque total]]-Tabela1[[#This Row],[Consumo]]</f>
        <v>0</v>
      </c>
      <c r="L266" s="7">
        <f>(Tabela1[[#This Row],[Valor total]]/Tabela1[[#This Row],[Estoque total]])*Tabela1[[#This Row],[Consumo]]</f>
        <v>24.77</v>
      </c>
    </row>
    <row r="267" spans="1:12" x14ac:dyDescent="0.25">
      <c r="A267" t="s">
        <v>520</v>
      </c>
      <c r="B267" t="s">
        <v>521</v>
      </c>
      <c r="C267" t="s">
        <v>2</v>
      </c>
      <c r="D267" t="s">
        <v>3</v>
      </c>
      <c r="E267" t="s">
        <v>4</v>
      </c>
      <c r="F267" t="s">
        <v>5</v>
      </c>
      <c r="G267" s="2">
        <v>164</v>
      </c>
      <c r="H267" t="s">
        <v>6</v>
      </c>
      <c r="I267" s="6">
        <v>1395.64</v>
      </c>
      <c r="K267" s="4">
        <f>Tabela1[[#This Row],[Estoque total]]-Tabela1[[#This Row],[Consumo]]</f>
        <v>164</v>
      </c>
      <c r="L267" s="7">
        <f>(Tabela1[[#This Row],[Valor total]]/Tabela1[[#This Row],[Estoque total]])*Tabela1[[#This Row],[Consumo]]</f>
        <v>0</v>
      </c>
    </row>
    <row r="268" spans="1:12" x14ac:dyDescent="0.25">
      <c r="A268" t="s">
        <v>522</v>
      </c>
      <c r="B268" t="s">
        <v>523</v>
      </c>
      <c r="C268" t="s">
        <v>2</v>
      </c>
      <c r="D268" t="s">
        <v>3</v>
      </c>
      <c r="E268" t="s">
        <v>4</v>
      </c>
      <c r="F268" t="s">
        <v>5</v>
      </c>
      <c r="G268" s="2">
        <v>427</v>
      </c>
      <c r="H268" t="s">
        <v>6</v>
      </c>
      <c r="I268" s="6">
        <v>482.95</v>
      </c>
      <c r="J268">
        <v>60</v>
      </c>
      <c r="K268" s="4">
        <f>Tabela1[[#This Row],[Estoque total]]-Tabela1[[#This Row],[Consumo]]</f>
        <v>367</v>
      </c>
      <c r="L268" s="7">
        <f>(Tabela1[[#This Row],[Valor total]]/Tabela1[[#This Row],[Estoque total]])*Tabela1[[#This Row],[Consumo]]</f>
        <v>67.861826697892269</v>
      </c>
    </row>
    <row r="269" spans="1:12" x14ac:dyDescent="0.25">
      <c r="A269" t="s">
        <v>524</v>
      </c>
      <c r="B269" t="s">
        <v>525</v>
      </c>
      <c r="C269" t="s">
        <v>2</v>
      </c>
      <c r="D269" t="s">
        <v>3</v>
      </c>
      <c r="E269" t="s">
        <v>4</v>
      </c>
      <c r="F269" t="s">
        <v>5</v>
      </c>
      <c r="G269" s="2">
        <v>120</v>
      </c>
      <c r="H269" t="s">
        <v>6</v>
      </c>
      <c r="I269" s="6">
        <v>588.62</v>
      </c>
      <c r="K269" s="4">
        <f>Tabela1[[#This Row],[Estoque total]]-Tabela1[[#This Row],[Consumo]]</f>
        <v>120</v>
      </c>
      <c r="L269" s="7">
        <f>(Tabela1[[#This Row],[Valor total]]/Tabela1[[#This Row],[Estoque total]])*Tabela1[[#This Row],[Consumo]]</f>
        <v>0</v>
      </c>
    </row>
    <row r="270" spans="1:12" x14ac:dyDescent="0.25">
      <c r="A270" t="s">
        <v>526</v>
      </c>
      <c r="B270" t="s">
        <v>527</v>
      </c>
      <c r="C270" t="s">
        <v>2</v>
      </c>
      <c r="D270" t="s">
        <v>3</v>
      </c>
      <c r="E270" t="s">
        <v>4</v>
      </c>
      <c r="F270" t="s">
        <v>5</v>
      </c>
      <c r="G270" s="2">
        <v>2</v>
      </c>
      <c r="H270" t="s">
        <v>6</v>
      </c>
      <c r="I270" s="6">
        <v>10.6</v>
      </c>
      <c r="K270" s="4">
        <f>Tabela1[[#This Row],[Estoque total]]-Tabela1[[#This Row],[Consumo]]</f>
        <v>2</v>
      </c>
      <c r="L270" s="7">
        <f>(Tabela1[[#This Row],[Valor total]]/Tabela1[[#This Row],[Estoque total]])*Tabela1[[#This Row],[Consumo]]</f>
        <v>0</v>
      </c>
    </row>
    <row r="271" spans="1:12" x14ac:dyDescent="0.25">
      <c r="A271" t="s">
        <v>528</v>
      </c>
      <c r="B271" t="s">
        <v>529</v>
      </c>
      <c r="C271" t="s">
        <v>2</v>
      </c>
      <c r="D271" t="s">
        <v>3</v>
      </c>
      <c r="E271" t="s">
        <v>4</v>
      </c>
      <c r="F271" t="s">
        <v>5</v>
      </c>
      <c r="G271" s="2">
        <v>2</v>
      </c>
      <c r="H271" t="s">
        <v>6</v>
      </c>
      <c r="I271" s="6">
        <v>2.5</v>
      </c>
      <c r="K271" s="4">
        <f>Tabela1[[#This Row],[Estoque total]]-Tabela1[[#This Row],[Consumo]]</f>
        <v>2</v>
      </c>
      <c r="L271" s="7">
        <f>(Tabela1[[#This Row],[Valor total]]/Tabela1[[#This Row],[Estoque total]])*Tabela1[[#This Row],[Consumo]]</f>
        <v>0</v>
      </c>
    </row>
    <row r="272" spans="1:12" x14ac:dyDescent="0.25">
      <c r="A272" t="s">
        <v>530</v>
      </c>
      <c r="B272" s="10" t="s">
        <v>531</v>
      </c>
      <c r="C272" t="s">
        <v>2</v>
      </c>
      <c r="D272" t="s">
        <v>3</v>
      </c>
      <c r="E272" t="s">
        <v>4</v>
      </c>
      <c r="F272" t="s">
        <v>5</v>
      </c>
      <c r="G272" s="2">
        <v>1796</v>
      </c>
      <c r="H272" t="s">
        <v>532</v>
      </c>
      <c r="I272" s="6">
        <v>14146.62</v>
      </c>
      <c r="J272">
        <v>1421</v>
      </c>
      <c r="K272" s="4">
        <f>Tabela1[[#This Row],[Estoque total]]-Tabela1[[#This Row],[Consumo]]</f>
        <v>375</v>
      </c>
      <c r="L272" s="7">
        <f>(Tabela1[[#This Row],[Valor total]]/Tabela1[[#This Row],[Estoque total]])*Tabela1[[#This Row],[Consumo]]</f>
        <v>11192.843552338531</v>
      </c>
    </row>
    <row r="273" spans="1:12" x14ac:dyDescent="0.25">
      <c r="A273" t="s">
        <v>533</v>
      </c>
      <c r="B273" t="s">
        <v>534</v>
      </c>
      <c r="C273" t="s">
        <v>2</v>
      </c>
      <c r="D273" t="s">
        <v>3</v>
      </c>
      <c r="E273" t="s">
        <v>4</v>
      </c>
      <c r="F273" t="s">
        <v>5</v>
      </c>
      <c r="G273" s="2">
        <v>194</v>
      </c>
      <c r="H273" t="s">
        <v>532</v>
      </c>
      <c r="I273" s="6">
        <v>4225.32</v>
      </c>
      <c r="K273" s="4">
        <f>Tabela1[[#This Row],[Estoque total]]-Tabela1[[#This Row],[Consumo]]</f>
        <v>194</v>
      </c>
      <c r="L273" s="7">
        <f>(Tabela1[[#This Row],[Valor total]]/Tabela1[[#This Row],[Estoque total]])*Tabela1[[#This Row],[Consumo]]</f>
        <v>0</v>
      </c>
    </row>
    <row r="274" spans="1:12" x14ac:dyDescent="0.25">
      <c r="A274" t="s">
        <v>535</v>
      </c>
      <c r="B274" t="s">
        <v>536</v>
      </c>
      <c r="C274" t="s">
        <v>2</v>
      </c>
      <c r="D274" t="s">
        <v>3</v>
      </c>
      <c r="E274" t="s">
        <v>4</v>
      </c>
      <c r="F274" t="s">
        <v>5</v>
      </c>
      <c r="G274" s="2">
        <v>300</v>
      </c>
      <c r="H274" t="s">
        <v>6</v>
      </c>
      <c r="I274" s="6">
        <v>1266</v>
      </c>
      <c r="K274" s="4">
        <f>Tabela1[[#This Row],[Estoque total]]-Tabela1[[#This Row],[Consumo]]</f>
        <v>300</v>
      </c>
      <c r="L274" s="7">
        <f>(Tabela1[[#This Row],[Valor total]]/Tabela1[[#This Row],[Estoque total]])*Tabela1[[#This Row],[Consumo]]</f>
        <v>0</v>
      </c>
    </row>
    <row r="275" spans="1:12" x14ac:dyDescent="0.25">
      <c r="A275" t="s">
        <v>537</v>
      </c>
      <c r="B275" t="s">
        <v>538</v>
      </c>
      <c r="C275" t="s">
        <v>2</v>
      </c>
      <c r="D275" t="s">
        <v>3</v>
      </c>
      <c r="E275" t="s">
        <v>4</v>
      </c>
      <c r="F275" t="s">
        <v>5</v>
      </c>
      <c r="G275" s="2">
        <v>373</v>
      </c>
      <c r="H275" t="s">
        <v>532</v>
      </c>
      <c r="I275" s="6">
        <v>1761.86</v>
      </c>
      <c r="J275">
        <v>373</v>
      </c>
      <c r="K275" s="4">
        <f>Tabela1[[#This Row],[Estoque total]]-Tabela1[[#This Row],[Consumo]]</f>
        <v>0</v>
      </c>
      <c r="L275" s="7">
        <f>(Tabela1[[#This Row],[Valor total]]/Tabela1[[#This Row],[Estoque total]])*Tabela1[[#This Row],[Consumo]]</f>
        <v>1761.8599999999997</v>
      </c>
    </row>
    <row r="276" spans="1:12" x14ac:dyDescent="0.25">
      <c r="A276" t="s">
        <v>539</v>
      </c>
      <c r="B276" t="s">
        <v>540</v>
      </c>
      <c r="C276" t="s">
        <v>2</v>
      </c>
      <c r="D276" t="s">
        <v>3</v>
      </c>
      <c r="E276" t="s">
        <v>4</v>
      </c>
      <c r="F276" t="s">
        <v>5</v>
      </c>
      <c r="G276" s="2">
        <v>6682</v>
      </c>
      <c r="H276" t="s">
        <v>532</v>
      </c>
      <c r="I276" s="6">
        <v>14723.34</v>
      </c>
      <c r="K276" s="4">
        <f>Tabela1[[#This Row],[Estoque total]]-Tabela1[[#This Row],[Consumo]]</f>
        <v>6682</v>
      </c>
      <c r="L276" s="7">
        <f>(Tabela1[[#This Row],[Valor total]]/Tabela1[[#This Row],[Estoque total]])*Tabela1[[#This Row],[Consumo]]</f>
        <v>0</v>
      </c>
    </row>
    <row r="277" spans="1:12" x14ac:dyDescent="0.25">
      <c r="A277" t="s">
        <v>541</v>
      </c>
      <c r="B277" t="s">
        <v>542</v>
      </c>
      <c r="C277" t="s">
        <v>2</v>
      </c>
      <c r="D277" t="s">
        <v>3</v>
      </c>
      <c r="E277" t="s">
        <v>4</v>
      </c>
      <c r="F277" t="s">
        <v>5</v>
      </c>
      <c r="G277" s="2">
        <v>2059</v>
      </c>
      <c r="H277" t="s">
        <v>532</v>
      </c>
      <c r="I277" s="6">
        <v>1523.66</v>
      </c>
      <c r="K277" s="4">
        <f>Tabela1[[#This Row],[Estoque total]]-Tabela1[[#This Row],[Consumo]]</f>
        <v>2059</v>
      </c>
      <c r="L277" s="7">
        <f>(Tabela1[[#This Row],[Valor total]]/Tabela1[[#This Row],[Estoque total]])*Tabela1[[#This Row],[Consumo]]</f>
        <v>0</v>
      </c>
    </row>
    <row r="278" spans="1:12" x14ac:dyDescent="0.25">
      <c r="A278" t="s">
        <v>543</v>
      </c>
      <c r="B278" t="s">
        <v>544</v>
      </c>
      <c r="C278" t="s">
        <v>2</v>
      </c>
      <c r="D278" t="s">
        <v>3</v>
      </c>
      <c r="E278" t="s">
        <v>4</v>
      </c>
      <c r="F278" t="s">
        <v>5</v>
      </c>
      <c r="G278" s="2">
        <v>77</v>
      </c>
      <c r="H278" t="s">
        <v>6</v>
      </c>
      <c r="I278" s="6">
        <v>296.45</v>
      </c>
      <c r="K278" s="4">
        <f>Tabela1[[#This Row],[Estoque total]]-Tabela1[[#This Row],[Consumo]]</f>
        <v>77</v>
      </c>
      <c r="L278" s="7">
        <f>(Tabela1[[#This Row],[Valor total]]/Tabela1[[#This Row],[Estoque total]])*Tabela1[[#This Row],[Consumo]]</f>
        <v>0</v>
      </c>
    </row>
    <row r="279" spans="1:12" x14ac:dyDescent="0.25">
      <c r="A279" t="s">
        <v>545</v>
      </c>
      <c r="B279" t="s">
        <v>546</v>
      </c>
      <c r="C279" t="s">
        <v>2</v>
      </c>
      <c r="D279" t="s">
        <v>3</v>
      </c>
      <c r="E279" t="s">
        <v>4</v>
      </c>
      <c r="F279" t="s">
        <v>5</v>
      </c>
      <c r="G279" s="2">
        <v>84</v>
      </c>
      <c r="H279" t="s">
        <v>6</v>
      </c>
      <c r="I279" s="6">
        <v>416.64</v>
      </c>
      <c r="K279" s="4">
        <f>Tabela1[[#This Row],[Estoque total]]-Tabela1[[#This Row],[Consumo]]</f>
        <v>84</v>
      </c>
      <c r="L279" s="7">
        <f>(Tabela1[[#This Row],[Valor total]]/Tabela1[[#This Row],[Estoque total]])*Tabela1[[#This Row],[Consumo]]</f>
        <v>0</v>
      </c>
    </row>
    <row r="280" spans="1:12" x14ac:dyDescent="0.25">
      <c r="A280" t="s">
        <v>547</v>
      </c>
      <c r="B280" t="s">
        <v>548</v>
      </c>
      <c r="C280" t="s">
        <v>2</v>
      </c>
      <c r="D280" t="s">
        <v>3</v>
      </c>
      <c r="E280" t="s">
        <v>4</v>
      </c>
      <c r="F280" t="s">
        <v>19</v>
      </c>
      <c r="G280" s="2">
        <v>6</v>
      </c>
      <c r="H280" t="s">
        <v>6</v>
      </c>
      <c r="I280" s="6">
        <v>41.7</v>
      </c>
      <c r="K280" s="4">
        <f>Tabela1[[#This Row],[Estoque total]]-Tabela1[[#This Row],[Consumo]]</f>
        <v>6</v>
      </c>
      <c r="L280" s="7">
        <f>(Tabela1[[#This Row],[Valor total]]/Tabela1[[#This Row],[Estoque total]])*Tabela1[[#This Row],[Consumo]]</f>
        <v>0</v>
      </c>
    </row>
    <row r="281" spans="1:12" x14ac:dyDescent="0.25">
      <c r="A281" t="s">
        <v>547</v>
      </c>
      <c r="B281" t="s">
        <v>548</v>
      </c>
      <c r="C281" t="s">
        <v>2</v>
      </c>
      <c r="D281" t="s">
        <v>3</v>
      </c>
      <c r="E281" t="s">
        <v>4</v>
      </c>
      <c r="F281" t="s">
        <v>5</v>
      </c>
      <c r="G281" s="2">
        <v>179</v>
      </c>
      <c r="H281" t="s">
        <v>6</v>
      </c>
      <c r="I281" s="6">
        <v>1244.05</v>
      </c>
      <c r="K281" s="4">
        <f>Tabela1[[#This Row],[Estoque total]]-Tabela1[[#This Row],[Consumo]]</f>
        <v>179</v>
      </c>
      <c r="L281" s="7">
        <f>(Tabela1[[#This Row],[Valor total]]/Tabela1[[#This Row],[Estoque total]])*Tabela1[[#This Row],[Consumo]]</f>
        <v>0</v>
      </c>
    </row>
    <row r="282" spans="1:12" x14ac:dyDescent="0.25">
      <c r="A282" t="s">
        <v>549</v>
      </c>
      <c r="B282" t="s">
        <v>550</v>
      </c>
      <c r="C282" t="s">
        <v>2</v>
      </c>
      <c r="D282" t="s">
        <v>3</v>
      </c>
      <c r="E282" t="s">
        <v>4</v>
      </c>
      <c r="F282" t="s">
        <v>19</v>
      </c>
      <c r="G282" s="2">
        <v>24</v>
      </c>
      <c r="H282" t="s">
        <v>6</v>
      </c>
      <c r="I282" s="6">
        <v>18.239999999999998</v>
      </c>
      <c r="K282" s="4">
        <f>Tabela1[[#This Row],[Estoque total]]-Tabela1[[#This Row],[Consumo]]</f>
        <v>24</v>
      </c>
      <c r="L282" s="7">
        <f>(Tabela1[[#This Row],[Valor total]]/Tabela1[[#This Row],[Estoque total]])*Tabela1[[#This Row],[Consumo]]</f>
        <v>0</v>
      </c>
    </row>
    <row r="283" spans="1:12" x14ac:dyDescent="0.25">
      <c r="A283" t="s">
        <v>551</v>
      </c>
      <c r="B283" t="s">
        <v>552</v>
      </c>
      <c r="C283" t="s">
        <v>2</v>
      </c>
      <c r="D283" t="s">
        <v>3</v>
      </c>
      <c r="E283" t="s">
        <v>4</v>
      </c>
      <c r="F283" t="s">
        <v>19</v>
      </c>
      <c r="G283" s="2">
        <v>3</v>
      </c>
      <c r="H283" t="s">
        <v>6</v>
      </c>
      <c r="I283" s="6">
        <v>109.47</v>
      </c>
      <c r="K283" s="4">
        <f>Tabela1[[#This Row],[Estoque total]]-Tabela1[[#This Row],[Consumo]]</f>
        <v>3</v>
      </c>
      <c r="L283" s="7">
        <f>(Tabela1[[#This Row],[Valor total]]/Tabela1[[#This Row],[Estoque total]])*Tabela1[[#This Row],[Consumo]]</f>
        <v>0</v>
      </c>
    </row>
    <row r="284" spans="1:12" x14ac:dyDescent="0.25">
      <c r="A284" t="s">
        <v>553</v>
      </c>
      <c r="B284" t="s">
        <v>554</v>
      </c>
      <c r="C284" t="s">
        <v>2</v>
      </c>
      <c r="D284" t="s">
        <v>3</v>
      </c>
      <c r="E284" t="s">
        <v>4</v>
      </c>
      <c r="F284" t="s">
        <v>19</v>
      </c>
      <c r="G284" s="2">
        <v>2</v>
      </c>
      <c r="H284" t="s">
        <v>6</v>
      </c>
      <c r="I284" s="6">
        <v>9.6</v>
      </c>
      <c r="J284">
        <v>2</v>
      </c>
      <c r="K284" s="4">
        <f>Tabela1[[#This Row],[Estoque total]]-Tabela1[[#This Row],[Consumo]]</f>
        <v>0</v>
      </c>
      <c r="L284" s="7">
        <f>(Tabela1[[#This Row],[Valor total]]/Tabela1[[#This Row],[Estoque total]])*Tabela1[[#This Row],[Consumo]]</f>
        <v>9.6</v>
      </c>
    </row>
    <row r="285" spans="1:12" x14ac:dyDescent="0.25">
      <c r="A285" t="s">
        <v>555</v>
      </c>
      <c r="B285" t="s">
        <v>556</v>
      </c>
      <c r="C285" t="s">
        <v>2</v>
      </c>
      <c r="D285" t="s">
        <v>3</v>
      </c>
      <c r="E285" t="s">
        <v>4</v>
      </c>
      <c r="F285" t="s">
        <v>19</v>
      </c>
      <c r="G285" s="2">
        <v>4</v>
      </c>
      <c r="H285" t="s">
        <v>6</v>
      </c>
      <c r="I285" s="6">
        <v>6.36</v>
      </c>
      <c r="J285">
        <v>4</v>
      </c>
      <c r="K285" s="4">
        <f>Tabela1[[#This Row],[Estoque total]]-Tabela1[[#This Row],[Consumo]]</f>
        <v>0</v>
      </c>
      <c r="L285" s="7">
        <f>(Tabela1[[#This Row],[Valor total]]/Tabela1[[#This Row],[Estoque total]])*Tabela1[[#This Row],[Consumo]]</f>
        <v>6.36</v>
      </c>
    </row>
    <row r="286" spans="1:12" x14ac:dyDescent="0.25">
      <c r="A286" t="s">
        <v>557</v>
      </c>
      <c r="B286" t="s">
        <v>558</v>
      </c>
      <c r="C286" t="s">
        <v>2</v>
      </c>
      <c r="D286" t="s">
        <v>3</v>
      </c>
      <c r="E286" t="s">
        <v>4</v>
      </c>
      <c r="F286" t="s">
        <v>5</v>
      </c>
      <c r="G286" s="2">
        <v>10</v>
      </c>
      <c r="H286" t="s">
        <v>6</v>
      </c>
      <c r="I286" s="6">
        <v>10</v>
      </c>
      <c r="K286" s="4">
        <f>Tabela1[[#This Row],[Estoque total]]-Tabela1[[#This Row],[Consumo]]</f>
        <v>10</v>
      </c>
      <c r="L286" s="7">
        <f>(Tabela1[[#This Row],[Valor total]]/Tabela1[[#This Row],[Estoque total]])*Tabela1[[#This Row],[Consumo]]</f>
        <v>0</v>
      </c>
    </row>
    <row r="287" spans="1:12" x14ac:dyDescent="0.25">
      <c r="A287" t="s">
        <v>559</v>
      </c>
      <c r="B287" t="s">
        <v>560</v>
      </c>
      <c r="C287" t="s">
        <v>2</v>
      </c>
      <c r="D287" t="s">
        <v>3</v>
      </c>
      <c r="E287" t="s">
        <v>4</v>
      </c>
      <c r="F287" t="s">
        <v>5</v>
      </c>
      <c r="G287" s="2">
        <v>114</v>
      </c>
      <c r="H287" t="s">
        <v>6</v>
      </c>
      <c r="I287" s="6">
        <v>381.2</v>
      </c>
      <c r="K287" s="4">
        <f>Tabela1[[#This Row],[Estoque total]]-Tabela1[[#This Row],[Consumo]]</f>
        <v>114</v>
      </c>
      <c r="L287" s="7">
        <f>(Tabela1[[#This Row],[Valor total]]/Tabela1[[#This Row],[Estoque total]])*Tabela1[[#This Row],[Consumo]]</f>
        <v>0</v>
      </c>
    </row>
    <row r="288" spans="1:12" x14ac:dyDescent="0.25">
      <c r="A288" t="s">
        <v>561</v>
      </c>
      <c r="B288" t="s">
        <v>562</v>
      </c>
      <c r="C288" t="s">
        <v>2</v>
      </c>
      <c r="D288" t="s">
        <v>3</v>
      </c>
      <c r="E288" t="s">
        <v>4</v>
      </c>
      <c r="F288" t="s">
        <v>19</v>
      </c>
      <c r="G288" s="2">
        <v>88.9</v>
      </c>
      <c r="H288" t="s">
        <v>6</v>
      </c>
      <c r="I288" s="6">
        <v>225.13</v>
      </c>
      <c r="J288">
        <v>44</v>
      </c>
      <c r="K288" s="4">
        <f>Tabela1[[#This Row],[Estoque total]]-Tabela1[[#This Row],[Consumo]]</f>
        <v>44.900000000000006</v>
      </c>
      <c r="L288" s="7">
        <f>(Tabela1[[#This Row],[Valor total]]/Tabela1[[#This Row],[Estoque total]])*Tabela1[[#This Row],[Consumo]]</f>
        <v>111.4254218222722</v>
      </c>
    </row>
    <row r="289" spans="1:12" x14ac:dyDescent="0.25">
      <c r="A289" t="s">
        <v>563</v>
      </c>
      <c r="B289" t="s">
        <v>564</v>
      </c>
      <c r="C289" t="s">
        <v>2</v>
      </c>
      <c r="D289" t="s">
        <v>3</v>
      </c>
      <c r="E289" t="s">
        <v>4</v>
      </c>
      <c r="F289" t="s">
        <v>5</v>
      </c>
      <c r="G289" s="2">
        <v>68</v>
      </c>
      <c r="H289" t="s">
        <v>6</v>
      </c>
      <c r="I289" s="6">
        <v>2006</v>
      </c>
      <c r="K289" s="4">
        <f>Tabela1[[#This Row],[Estoque total]]-Tabela1[[#This Row],[Consumo]]</f>
        <v>68</v>
      </c>
      <c r="L289" s="7">
        <f>(Tabela1[[#This Row],[Valor total]]/Tabela1[[#This Row],[Estoque total]])*Tabela1[[#This Row],[Consumo]]</f>
        <v>0</v>
      </c>
    </row>
    <row r="290" spans="1:12" x14ac:dyDescent="0.25">
      <c r="A290" t="s">
        <v>565</v>
      </c>
      <c r="B290" t="s">
        <v>566</v>
      </c>
      <c r="C290" t="s">
        <v>2</v>
      </c>
      <c r="D290" t="s">
        <v>3</v>
      </c>
      <c r="E290" t="s">
        <v>4</v>
      </c>
      <c r="F290" t="s">
        <v>5</v>
      </c>
      <c r="G290" s="2">
        <v>50</v>
      </c>
      <c r="H290" t="s">
        <v>6</v>
      </c>
      <c r="I290" s="6">
        <v>389</v>
      </c>
      <c r="K290" s="4">
        <f>Tabela1[[#This Row],[Estoque total]]-Tabela1[[#This Row],[Consumo]]</f>
        <v>50</v>
      </c>
      <c r="L290" s="7">
        <f>(Tabela1[[#This Row],[Valor total]]/Tabela1[[#This Row],[Estoque total]])*Tabela1[[#This Row],[Consumo]]</f>
        <v>0</v>
      </c>
    </row>
    <row r="291" spans="1:12" x14ac:dyDescent="0.25">
      <c r="A291" t="s">
        <v>567</v>
      </c>
      <c r="B291" t="s">
        <v>568</v>
      </c>
      <c r="C291" t="s">
        <v>569</v>
      </c>
      <c r="D291" t="s">
        <v>3</v>
      </c>
      <c r="E291" t="s">
        <v>4</v>
      </c>
      <c r="F291" t="s">
        <v>19</v>
      </c>
      <c r="G291" s="2">
        <v>1</v>
      </c>
      <c r="H291" t="s">
        <v>6</v>
      </c>
      <c r="I291" s="6">
        <v>0</v>
      </c>
      <c r="J291">
        <v>1</v>
      </c>
      <c r="K291" s="4">
        <f>Tabela1[[#This Row],[Estoque total]]-Tabela1[[#This Row],[Consumo]]</f>
        <v>0</v>
      </c>
      <c r="L291" s="7">
        <f>(Tabela1[[#This Row],[Valor total]]/Tabela1[[#This Row],[Estoque total]])*Tabela1[[#This Row],[Consumo]]</f>
        <v>0</v>
      </c>
    </row>
    <row r="292" spans="1:12" x14ac:dyDescent="0.25">
      <c r="A292" t="s">
        <v>570</v>
      </c>
      <c r="B292" t="s">
        <v>571</v>
      </c>
      <c r="C292" t="s">
        <v>572</v>
      </c>
      <c r="D292" t="s">
        <v>3</v>
      </c>
      <c r="E292" t="s">
        <v>4</v>
      </c>
      <c r="F292" t="s">
        <v>5</v>
      </c>
      <c r="G292" s="2">
        <v>1</v>
      </c>
      <c r="H292" t="s">
        <v>6</v>
      </c>
      <c r="I292" s="6">
        <v>0</v>
      </c>
      <c r="J292">
        <v>1</v>
      </c>
      <c r="K292" s="4">
        <f>Tabela1[[#This Row],[Estoque total]]-Tabela1[[#This Row],[Consumo]]</f>
        <v>0</v>
      </c>
      <c r="L292" s="7">
        <f>(Tabela1[[#This Row],[Valor total]]/Tabela1[[#This Row],[Estoque total]])*Tabela1[[#This Row],[Consumo]]</f>
        <v>0</v>
      </c>
    </row>
    <row r="293" spans="1:12" x14ac:dyDescent="0.25">
      <c r="A293" t="s">
        <v>573</v>
      </c>
      <c r="B293" t="s">
        <v>574</v>
      </c>
      <c r="C293" t="s">
        <v>575</v>
      </c>
      <c r="D293" t="s">
        <v>3</v>
      </c>
      <c r="E293" t="s">
        <v>4</v>
      </c>
      <c r="F293" t="s">
        <v>5</v>
      </c>
      <c r="G293" s="2">
        <v>1</v>
      </c>
      <c r="H293" t="s">
        <v>6</v>
      </c>
      <c r="I293" s="6">
        <v>0</v>
      </c>
      <c r="J293">
        <v>1</v>
      </c>
      <c r="K293" s="4">
        <f>Tabela1[[#This Row],[Estoque total]]-Tabela1[[#This Row],[Consumo]]</f>
        <v>0</v>
      </c>
      <c r="L293" s="7">
        <f>(Tabela1[[#This Row],[Valor total]]/Tabela1[[#This Row],[Estoque total]])*Tabela1[[#This Row],[Consumo]]</f>
        <v>0</v>
      </c>
    </row>
    <row r="294" spans="1:12" x14ac:dyDescent="0.25">
      <c r="A294" t="s">
        <v>576</v>
      </c>
      <c r="B294" t="s">
        <v>577</v>
      </c>
      <c r="C294" t="s">
        <v>2</v>
      </c>
      <c r="D294" t="s">
        <v>3</v>
      </c>
      <c r="E294" t="s">
        <v>4</v>
      </c>
      <c r="F294" t="s">
        <v>5</v>
      </c>
      <c r="G294" s="2">
        <v>1</v>
      </c>
      <c r="H294" t="s">
        <v>6</v>
      </c>
      <c r="I294" s="6">
        <v>12.15</v>
      </c>
      <c r="J294">
        <v>1</v>
      </c>
      <c r="K294" s="4">
        <f>Tabela1[[#This Row],[Estoque total]]-Tabela1[[#This Row],[Consumo]]</f>
        <v>0</v>
      </c>
      <c r="L294" s="7">
        <f>(Tabela1[[#This Row],[Valor total]]/Tabela1[[#This Row],[Estoque total]])*Tabela1[[#This Row],[Consumo]]</f>
        <v>12.15</v>
      </c>
    </row>
    <row r="295" spans="1:12" x14ac:dyDescent="0.25">
      <c r="A295" t="s">
        <v>578</v>
      </c>
      <c r="B295" t="s">
        <v>579</v>
      </c>
      <c r="C295" t="s">
        <v>2</v>
      </c>
      <c r="D295" t="s">
        <v>3</v>
      </c>
      <c r="E295" t="s">
        <v>4</v>
      </c>
      <c r="F295" t="s">
        <v>5</v>
      </c>
      <c r="G295" s="2">
        <v>42</v>
      </c>
      <c r="H295" t="s">
        <v>6</v>
      </c>
      <c r="I295" s="6">
        <v>34.86</v>
      </c>
      <c r="K295" s="4">
        <f>Tabela1[[#This Row],[Estoque total]]-Tabela1[[#This Row],[Consumo]]</f>
        <v>42</v>
      </c>
      <c r="L295" s="7">
        <f>(Tabela1[[#This Row],[Valor total]]/Tabela1[[#This Row],[Estoque total]])*Tabela1[[#This Row],[Consumo]]</f>
        <v>0</v>
      </c>
    </row>
    <row r="296" spans="1:12" x14ac:dyDescent="0.25">
      <c r="A296" t="s">
        <v>580</v>
      </c>
      <c r="B296" t="s">
        <v>581</v>
      </c>
      <c r="C296" t="s">
        <v>2</v>
      </c>
      <c r="D296" t="s">
        <v>3</v>
      </c>
      <c r="E296" t="s">
        <v>4</v>
      </c>
      <c r="F296" t="s">
        <v>19</v>
      </c>
      <c r="G296" s="2">
        <v>250</v>
      </c>
      <c r="H296" t="s">
        <v>532</v>
      </c>
      <c r="I296" s="6">
        <v>675</v>
      </c>
      <c r="K296" s="4">
        <f>Tabela1[[#This Row],[Estoque total]]-Tabela1[[#This Row],[Consumo]]</f>
        <v>250</v>
      </c>
      <c r="L296" s="7">
        <f>(Tabela1[[#This Row],[Valor total]]/Tabela1[[#This Row],[Estoque total]])*Tabela1[[#This Row],[Consumo]]</f>
        <v>0</v>
      </c>
    </row>
    <row r="297" spans="1:12" x14ac:dyDescent="0.25">
      <c r="A297" t="s">
        <v>582</v>
      </c>
      <c r="B297" t="s">
        <v>583</v>
      </c>
      <c r="C297" t="s">
        <v>2</v>
      </c>
      <c r="D297" t="s">
        <v>3</v>
      </c>
      <c r="E297" t="s">
        <v>4</v>
      </c>
      <c r="F297" t="s">
        <v>19</v>
      </c>
      <c r="G297" s="2">
        <v>10</v>
      </c>
      <c r="H297" t="s">
        <v>532</v>
      </c>
      <c r="I297" s="6">
        <v>2.85</v>
      </c>
      <c r="K297" s="4">
        <f>Tabela1[[#This Row],[Estoque total]]-Tabela1[[#This Row],[Consumo]]</f>
        <v>10</v>
      </c>
      <c r="L297" s="7">
        <f>(Tabela1[[#This Row],[Valor total]]/Tabela1[[#This Row],[Estoque total]])*Tabela1[[#This Row],[Consumo]]</f>
        <v>0</v>
      </c>
    </row>
    <row r="298" spans="1:12" x14ac:dyDescent="0.25">
      <c r="A298" t="s">
        <v>584</v>
      </c>
      <c r="B298" t="s">
        <v>585</v>
      </c>
      <c r="C298" t="s">
        <v>2</v>
      </c>
      <c r="D298" t="s">
        <v>3</v>
      </c>
      <c r="E298" t="s">
        <v>4</v>
      </c>
      <c r="F298" t="s">
        <v>19</v>
      </c>
      <c r="G298" s="2">
        <v>510</v>
      </c>
      <c r="H298" t="s">
        <v>532</v>
      </c>
      <c r="I298" s="6">
        <v>616.28</v>
      </c>
      <c r="K298" s="4">
        <f>Tabela1[[#This Row],[Estoque total]]-Tabela1[[#This Row],[Consumo]]</f>
        <v>510</v>
      </c>
      <c r="L298" s="7">
        <f>(Tabela1[[#This Row],[Valor total]]/Tabela1[[#This Row],[Estoque total]])*Tabela1[[#This Row],[Consumo]]</f>
        <v>0</v>
      </c>
    </row>
    <row r="299" spans="1:12" x14ac:dyDescent="0.25">
      <c r="A299" t="s">
        <v>584</v>
      </c>
      <c r="B299" t="s">
        <v>585</v>
      </c>
      <c r="C299" t="s">
        <v>2</v>
      </c>
      <c r="D299" t="s">
        <v>3</v>
      </c>
      <c r="E299" t="s">
        <v>4</v>
      </c>
      <c r="F299" t="s">
        <v>5</v>
      </c>
      <c r="G299" s="2">
        <v>3834</v>
      </c>
      <c r="H299" t="s">
        <v>532</v>
      </c>
      <c r="I299" s="6">
        <v>4006.54</v>
      </c>
      <c r="K299" s="4">
        <f>Tabela1[[#This Row],[Estoque total]]-Tabela1[[#This Row],[Consumo]]</f>
        <v>3834</v>
      </c>
      <c r="L299" s="7">
        <f>(Tabela1[[#This Row],[Valor total]]/Tabela1[[#This Row],[Estoque total]])*Tabela1[[#This Row],[Consumo]]</f>
        <v>0</v>
      </c>
    </row>
    <row r="300" spans="1:12" x14ac:dyDescent="0.25">
      <c r="A300" t="s">
        <v>586</v>
      </c>
      <c r="B300" t="s">
        <v>587</v>
      </c>
      <c r="C300" t="s">
        <v>2</v>
      </c>
      <c r="D300" t="s">
        <v>3</v>
      </c>
      <c r="E300" t="s">
        <v>4</v>
      </c>
      <c r="F300" t="s">
        <v>19</v>
      </c>
      <c r="G300" s="2">
        <v>100</v>
      </c>
      <c r="H300" t="s">
        <v>532</v>
      </c>
      <c r="I300" s="6">
        <v>108</v>
      </c>
      <c r="K300" s="4">
        <f>Tabela1[[#This Row],[Estoque total]]-Tabela1[[#This Row],[Consumo]]</f>
        <v>100</v>
      </c>
      <c r="L300" s="7">
        <f>(Tabela1[[#This Row],[Valor total]]/Tabela1[[#This Row],[Estoque total]])*Tabela1[[#This Row],[Consumo]]</f>
        <v>0</v>
      </c>
    </row>
    <row r="301" spans="1:12" x14ac:dyDescent="0.25">
      <c r="A301" t="s">
        <v>588</v>
      </c>
      <c r="B301" t="s">
        <v>589</v>
      </c>
      <c r="C301" t="s">
        <v>2</v>
      </c>
      <c r="D301" t="s">
        <v>3</v>
      </c>
      <c r="E301" t="s">
        <v>4</v>
      </c>
      <c r="F301" t="s">
        <v>19</v>
      </c>
      <c r="G301" s="2">
        <v>100</v>
      </c>
      <c r="H301" t="s">
        <v>532</v>
      </c>
      <c r="I301" s="6">
        <v>154.19999999999999</v>
      </c>
      <c r="K301" s="4">
        <f>Tabela1[[#This Row],[Estoque total]]-Tabela1[[#This Row],[Consumo]]</f>
        <v>100</v>
      </c>
      <c r="L301" s="7">
        <f>(Tabela1[[#This Row],[Valor total]]/Tabela1[[#This Row],[Estoque total]])*Tabela1[[#This Row],[Consumo]]</f>
        <v>0</v>
      </c>
    </row>
    <row r="302" spans="1:12" x14ac:dyDescent="0.25">
      <c r="A302" t="s">
        <v>590</v>
      </c>
      <c r="B302" t="s">
        <v>591</v>
      </c>
      <c r="C302" t="s">
        <v>2</v>
      </c>
      <c r="D302" t="s">
        <v>3</v>
      </c>
      <c r="E302" t="s">
        <v>4</v>
      </c>
      <c r="F302" t="s">
        <v>5</v>
      </c>
      <c r="G302" s="2">
        <v>1</v>
      </c>
      <c r="H302" t="s">
        <v>6</v>
      </c>
      <c r="I302" s="6">
        <v>3988.6</v>
      </c>
      <c r="K302" s="4">
        <f>Tabela1[[#This Row],[Estoque total]]-Tabela1[[#This Row],[Consumo]]</f>
        <v>1</v>
      </c>
      <c r="L302" s="7">
        <f>(Tabela1[[#This Row],[Valor total]]/Tabela1[[#This Row],[Estoque total]])*Tabela1[[#This Row],[Consumo]]</f>
        <v>0</v>
      </c>
    </row>
    <row r="303" spans="1:12" x14ac:dyDescent="0.25">
      <c r="A303" t="s">
        <v>592</v>
      </c>
      <c r="B303" t="s">
        <v>593</v>
      </c>
      <c r="C303" t="s">
        <v>2</v>
      </c>
      <c r="D303" t="s">
        <v>3</v>
      </c>
      <c r="E303" t="s">
        <v>4</v>
      </c>
      <c r="F303" t="s">
        <v>5</v>
      </c>
      <c r="G303" s="2">
        <v>18</v>
      </c>
      <c r="H303" t="s">
        <v>6</v>
      </c>
      <c r="I303" s="6">
        <v>369.72</v>
      </c>
      <c r="K303" s="4">
        <f>Tabela1[[#This Row],[Estoque total]]-Tabela1[[#This Row],[Consumo]]</f>
        <v>18</v>
      </c>
      <c r="L303" s="7">
        <f>(Tabela1[[#This Row],[Valor total]]/Tabela1[[#This Row],[Estoque total]])*Tabela1[[#This Row],[Consumo]]</f>
        <v>0</v>
      </c>
    </row>
    <row r="304" spans="1:12" x14ac:dyDescent="0.25">
      <c r="A304" t="s">
        <v>594</v>
      </c>
      <c r="B304" t="s">
        <v>595</v>
      </c>
      <c r="C304" t="s">
        <v>2</v>
      </c>
      <c r="D304" t="s">
        <v>3</v>
      </c>
      <c r="E304" t="s">
        <v>4</v>
      </c>
      <c r="F304" t="s">
        <v>5</v>
      </c>
      <c r="G304" s="2">
        <v>1190</v>
      </c>
      <c r="H304" t="s">
        <v>6</v>
      </c>
      <c r="I304" s="6">
        <v>10650.5</v>
      </c>
      <c r="K304" s="4">
        <f>Tabela1[[#This Row],[Estoque total]]-Tabela1[[#This Row],[Consumo]]</f>
        <v>1190</v>
      </c>
      <c r="L304" s="7">
        <f>(Tabela1[[#This Row],[Valor total]]/Tabela1[[#This Row],[Estoque total]])*Tabela1[[#This Row],[Consumo]]</f>
        <v>0</v>
      </c>
    </row>
    <row r="305" spans="1:12" x14ac:dyDescent="0.25">
      <c r="A305" t="s">
        <v>596</v>
      </c>
      <c r="B305" t="s">
        <v>597</v>
      </c>
      <c r="C305" t="s">
        <v>2</v>
      </c>
      <c r="D305" t="s">
        <v>3</v>
      </c>
      <c r="E305" t="s">
        <v>4</v>
      </c>
      <c r="F305" t="s">
        <v>5</v>
      </c>
      <c r="G305" s="2">
        <v>6</v>
      </c>
      <c r="H305" t="s">
        <v>6</v>
      </c>
      <c r="I305" s="6">
        <v>183</v>
      </c>
      <c r="J305">
        <v>6</v>
      </c>
      <c r="K305" s="4">
        <f>Tabela1[[#This Row],[Estoque total]]-Tabela1[[#This Row],[Consumo]]</f>
        <v>0</v>
      </c>
      <c r="L305" s="7">
        <f>(Tabela1[[#This Row],[Valor total]]/Tabela1[[#This Row],[Estoque total]])*Tabela1[[#This Row],[Consumo]]</f>
        <v>183</v>
      </c>
    </row>
    <row r="306" spans="1:12" x14ac:dyDescent="0.25">
      <c r="A306" t="s">
        <v>598</v>
      </c>
      <c r="B306" t="s">
        <v>599</v>
      </c>
      <c r="C306" t="s">
        <v>2</v>
      </c>
      <c r="D306" t="s">
        <v>3</v>
      </c>
      <c r="E306" t="s">
        <v>4</v>
      </c>
      <c r="F306" t="s">
        <v>5</v>
      </c>
      <c r="G306" s="2">
        <v>1900</v>
      </c>
      <c r="H306" t="s">
        <v>6</v>
      </c>
      <c r="I306" s="6">
        <v>8075</v>
      </c>
      <c r="K306" s="4">
        <f>Tabela1[[#This Row],[Estoque total]]-Tabela1[[#This Row],[Consumo]]</f>
        <v>1900</v>
      </c>
      <c r="L306" s="7">
        <f>(Tabela1[[#This Row],[Valor total]]/Tabela1[[#This Row],[Estoque total]])*Tabela1[[#This Row],[Consumo]]</f>
        <v>0</v>
      </c>
    </row>
    <row r="307" spans="1:12" x14ac:dyDescent="0.25">
      <c r="A307" t="s">
        <v>600</v>
      </c>
      <c r="B307" t="s">
        <v>601</v>
      </c>
      <c r="C307" t="s">
        <v>2</v>
      </c>
      <c r="D307" t="s">
        <v>3</v>
      </c>
      <c r="E307" t="s">
        <v>4</v>
      </c>
      <c r="F307" t="s">
        <v>19</v>
      </c>
      <c r="G307" s="2">
        <v>8</v>
      </c>
      <c r="H307" t="s">
        <v>6</v>
      </c>
      <c r="I307" s="6">
        <v>1.63</v>
      </c>
      <c r="K307" s="4">
        <f>Tabela1[[#This Row],[Estoque total]]-Tabela1[[#This Row],[Consumo]]</f>
        <v>8</v>
      </c>
      <c r="L307" s="7">
        <f>(Tabela1[[#This Row],[Valor total]]/Tabela1[[#This Row],[Estoque total]])*Tabela1[[#This Row],[Consumo]]</f>
        <v>0</v>
      </c>
    </row>
    <row r="308" spans="1:12" x14ac:dyDescent="0.25">
      <c r="A308" t="s">
        <v>602</v>
      </c>
      <c r="B308" t="s">
        <v>603</v>
      </c>
      <c r="C308" t="s">
        <v>2</v>
      </c>
      <c r="D308" t="s">
        <v>3</v>
      </c>
      <c r="E308" t="s">
        <v>4</v>
      </c>
      <c r="F308" t="s">
        <v>19</v>
      </c>
      <c r="G308" s="2">
        <v>2</v>
      </c>
      <c r="H308" t="s">
        <v>6</v>
      </c>
      <c r="I308" s="6">
        <v>13</v>
      </c>
      <c r="J308">
        <v>2</v>
      </c>
      <c r="K308" s="4">
        <f>Tabela1[[#This Row],[Estoque total]]-Tabela1[[#This Row],[Consumo]]</f>
        <v>0</v>
      </c>
      <c r="L308" s="7">
        <f>(Tabela1[[#This Row],[Valor total]]/Tabela1[[#This Row],[Estoque total]])*Tabela1[[#This Row],[Consumo]]</f>
        <v>13</v>
      </c>
    </row>
    <row r="309" spans="1:12" x14ac:dyDescent="0.25">
      <c r="A309" t="s">
        <v>604</v>
      </c>
      <c r="B309" t="s">
        <v>605</v>
      </c>
      <c r="C309" t="s">
        <v>2</v>
      </c>
      <c r="D309" t="s">
        <v>3</v>
      </c>
      <c r="E309" t="s">
        <v>4</v>
      </c>
      <c r="F309" t="s">
        <v>19</v>
      </c>
      <c r="G309" s="2">
        <v>9</v>
      </c>
      <c r="H309" t="s">
        <v>6</v>
      </c>
      <c r="I309" s="6">
        <v>29.07</v>
      </c>
      <c r="J309">
        <v>9</v>
      </c>
      <c r="K309" s="4">
        <f>Tabela1[[#This Row],[Estoque total]]-Tabela1[[#This Row],[Consumo]]</f>
        <v>0</v>
      </c>
      <c r="L309" s="7">
        <f>(Tabela1[[#This Row],[Valor total]]/Tabela1[[#This Row],[Estoque total]])*Tabela1[[#This Row],[Consumo]]</f>
        <v>29.07</v>
      </c>
    </row>
    <row r="310" spans="1:12" x14ac:dyDescent="0.25">
      <c r="A310" t="s">
        <v>606</v>
      </c>
      <c r="B310" t="s">
        <v>607</v>
      </c>
      <c r="C310" t="s">
        <v>2</v>
      </c>
      <c r="D310" t="s">
        <v>3</v>
      </c>
      <c r="E310" t="s">
        <v>4</v>
      </c>
      <c r="F310" t="s">
        <v>19</v>
      </c>
      <c r="G310" s="2">
        <v>2</v>
      </c>
      <c r="H310" t="s">
        <v>6</v>
      </c>
      <c r="I310" s="6">
        <v>19.86</v>
      </c>
      <c r="K310" s="4">
        <f>Tabela1[[#This Row],[Estoque total]]-Tabela1[[#This Row],[Consumo]]</f>
        <v>2</v>
      </c>
      <c r="L310" s="7">
        <f>(Tabela1[[#This Row],[Valor total]]/Tabela1[[#This Row],[Estoque total]])*Tabela1[[#This Row],[Consumo]]</f>
        <v>0</v>
      </c>
    </row>
    <row r="311" spans="1:12" x14ac:dyDescent="0.25">
      <c r="A311" t="s">
        <v>608</v>
      </c>
      <c r="B311" t="s">
        <v>609</v>
      </c>
      <c r="C311" t="s">
        <v>2</v>
      </c>
      <c r="D311" t="s">
        <v>3</v>
      </c>
      <c r="E311" t="s">
        <v>4</v>
      </c>
      <c r="F311" t="s">
        <v>19</v>
      </c>
      <c r="G311" s="2">
        <v>21</v>
      </c>
      <c r="H311" t="s">
        <v>6</v>
      </c>
      <c r="I311" s="6">
        <v>72.900000000000006</v>
      </c>
      <c r="K311" s="4">
        <f>Tabela1[[#This Row],[Estoque total]]-Tabela1[[#This Row],[Consumo]]</f>
        <v>21</v>
      </c>
      <c r="L311" s="7">
        <f>(Tabela1[[#This Row],[Valor total]]/Tabela1[[#This Row],[Estoque total]])*Tabela1[[#This Row],[Consumo]]</f>
        <v>0</v>
      </c>
    </row>
    <row r="312" spans="1:12" x14ac:dyDescent="0.25">
      <c r="A312" t="s">
        <v>610</v>
      </c>
      <c r="B312" t="s">
        <v>611</v>
      </c>
      <c r="C312" t="s">
        <v>2</v>
      </c>
      <c r="D312" t="s">
        <v>3</v>
      </c>
      <c r="E312" t="s">
        <v>4</v>
      </c>
      <c r="F312" t="s">
        <v>19</v>
      </c>
      <c r="G312" s="2">
        <v>10</v>
      </c>
      <c r="H312" t="s">
        <v>6</v>
      </c>
      <c r="I312" s="6">
        <v>480</v>
      </c>
      <c r="K312" s="4">
        <f>Tabela1[[#This Row],[Estoque total]]-Tabela1[[#This Row],[Consumo]]</f>
        <v>10</v>
      </c>
      <c r="L312" s="7">
        <f>(Tabela1[[#This Row],[Valor total]]/Tabela1[[#This Row],[Estoque total]])*Tabela1[[#This Row],[Consumo]]</f>
        <v>0</v>
      </c>
    </row>
    <row r="313" spans="1:12" x14ac:dyDescent="0.25">
      <c r="A313" t="s">
        <v>612</v>
      </c>
      <c r="B313" t="s">
        <v>613</v>
      </c>
      <c r="C313" t="s">
        <v>2</v>
      </c>
      <c r="D313" t="s">
        <v>3</v>
      </c>
      <c r="E313" t="s">
        <v>4</v>
      </c>
      <c r="F313" t="s">
        <v>5</v>
      </c>
      <c r="G313" s="2">
        <v>130</v>
      </c>
      <c r="H313" t="s">
        <v>6</v>
      </c>
      <c r="I313" s="6">
        <v>46.8</v>
      </c>
      <c r="K313" s="4">
        <f>Tabela1[[#This Row],[Estoque total]]-Tabela1[[#This Row],[Consumo]]</f>
        <v>130</v>
      </c>
      <c r="L313" s="7">
        <f>(Tabela1[[#This Row],[Valor total]]/Tabela1[[#This Row],[Estoque total]])*Tabela1[[#This Row],[Consumo]]</f>
        <v>0</v>
      </c>
    </row>
    <row r="314" spans="1:12" x14ac:dyDescent="0.25">
      <c r="A314" t="s">
        <v>614</v>
      </c>
      <c r="B314" t="s">
        <v>615</v>
      </c>
      <c r="C314" t="s">
        <v>2</v>
      </c>
      <c r="D314" t="s">
        <v>3</v>
      </c>
      <c r="E314" t="s">
        <v>4</v>
      </c>
      <c r="F314" t="s">
        <v>5</v>
      </c>
      <c r="G314" s="2">
        <v>4</v>
      </c>
      <c r="H314" t="s">
        <v>6</v>
      </c>
      <c r="I314" s="6">
        <v>122</v>
      </c>
      <c r="J314">
        <v>4</v>
      </c>
      <c r="K314" s="4">
        <f>Tabela1[[#This Row],[Estoque total]]-Tabela1[[#This Row],[Consumo]]</f>
        <v>0</v>
      </c>
      <c r="L314" s="7">
        <f>(Tabela1[[#This Row],[Valor total]]/Tabela1[[#This Row],[Estoque total]])*Tabela1[[#This Row],[Consumo]]</f>
        <v>122</v>
      </c>
    </row>
    <row r="315" spans="1:12" x14ac:dyDescent="0.25">
      <c r="A315" t="s">
        <v>616</v>
      </c>
      <c r="B315" t="s">
        <v>617</v>
      </c>
      <c r="C315" t="s">
        <v>2</v>
      </c>
      <c r="D315" t="s">
        <v>3</v>
      </c>
      <c r="E315" t="s">
        <v>4</v>
      </c>
      <c r="F315" t="s">
        <v>19</v>
      </c>
      <c r="G315" s="2">
        <v>1.65</v>
      </c>
      <c r="H315" t="s">
        <v>618</v>
      </c>
      <c r="I315" s="6">
        <v>10.59</v>
      </c>
      <c r="J315">
        <v>1</v>
      </c>
      <c r="K315" s="4">
        <f>Tabela1[[#This Row],[Estoque total]]-Tabela1[[#This Row],[Consumo]]</f>
        <v>0.64999999999999991</v>
      </c>
      <c r="L315" s="7">
        <f>(Tabela1[[#This Row],[Valor total]]/Tabela1[[#This Row],[Estoque total]])*Tabela1[[#This Row],[Consumo]]</f>
        <v>6.4181818181818189</v>
      </c>
    </row>
    <row r="316" spans="1:12" x14ac:dyDescent="0.25">
      <c r="A316" t="s">
        <v>619</v>
      </c>
      <c r="B316" t="s">
        <v>620</v>
      </c>
      <c r="C316" t="s">
        <v>2</v>
      </c>
      <c r="D316" t="s">
        <v>3</v>
      </c>
      <c r="E316" t="s">
        <v>4</v>
      </c>
      <c r="F316" t="s">
        <v>5</v>
      </c>
      <c r="G316" s="2">
        <v>160</v>
      </c>
      <c r="H316" t="s">
        <v>6</v>
      </c>
      <c r="I316" s="6">
        <v>616</v>
      </c>
      <c r="K316" s="4">
        <f>Tabela1[[#This Row],[Estoque total]]-Tabela1[[#This Row],[Consumo]]</f>
        <v>160</v>
      </c>
      <c r="L316" s="7">
        <f>(Tabela1[[#This Row],[Valor total]]/Tabela1[[#This Row],[Estoque total]])*Tabela1[[#This Row],[Consumo]]</f>
        <v>0</v>
      </c>
    </row>
    <row r="317" spans="1:12" x14ac:dyDescent="0.25">
      <c r="A317" t="s">
        <v>621</v>
      </c>
      <c r="B317" t="s">
        <v>622</v>
      </c>
      <c r="C317" t="s">
        <v>623</v>
      </c>
      <c r="D317" t="s">
        <v>3</v>
      </c>
      <c r="E317" t="s">
        <v>4</v>
      </c>
      <c r="F317" t="s">
        <v>5</v>
      </c>
      <c r="G317" s="2">
        <v>21</v>
      </c>
      <c r="H317" t="s">
        <v>6</v>
      </c>
      <c r="I317" s="6">
        <v>510.3</v>
      </c>
      <c r="K317" s="4">
        <f>Tabela1[[#This Row],[Estoque total]]-Tabela1[[#This Row],[Consumo]]</f>
        <v>21</v>
      </c>
      <c r="L317" s="7">
        <f>(Tabela1[[#This Row],[Valor total]]/Tabela1[[#This Row],[Estoque total]])*Tabela1[[#This Row],[Consumo]]</f>
        <v>0</v>
      </c>
    </row>
    <row r="318" spans="1:12" x14ac:dyDescent="0.25">
      <c r="A318" t="s">
        <v>624</v>
      </c>
      <c r="B318" t="s">
        <v>625</v>
      </c>
      <c r="C318" t="s">
        <v>2</v>
      </c>
      <c r="D318" t="s">
        <v>3</v>
      </c>
      <c r="E318" t="s">
        <v>4</v>
      </c>
      <c r="F318" t="s">
        <v>5</v>
      </c>
      <c r="G318" s="2">
        <v>4</v>
      </c>
      <c r="H318" t="s">
        <v>6</v>
      </c>
      <c r="I318" s="6">
        <v>173.44</v>
      </c>
      <c r="K318" s="4">
        <f>Tabela1[[#This Row],[Estoque total]]-Tabela1[[#This Row],[Consumo]]</f>
        <v>4</v>
      </c>
      <c r="L318" s="7">
        <f>(Tabela1[[#This Row],[Valor total]]/Tabela1[[#This Row],[Estoque total]])*Tabela1[[#This Row],[Consumo]]</f>
        <v>0</v>
      </c>
    </row>
    <row r="319" spans="1:12" x14ac:dyDescent="0.25">
      <c r="A319" t="s">
        <v>626</v>
      </c>
      <c r="B319" t="s">
        <v>627</v>
      </c>
      <c r="C319" t="s">
        <v>2</v>
      </c>
      <c r="D319" t="s">
        <v>3</v>
      </c>
      <c r="E319" t="s">
        <v>4</v>
      </c>
      <c r="F319" t="s">
        <v>5</v>
      </c>
      <c r="G319" s="2">
        <v>4</v>
      </c>
      <c r="H319" t="s">
        <v>6</v>
      </c>
      <c r="I319" s="6">
        <v>235.92</v>
      </c>
      <c r="K319" s="4">
        <f>Tabela1[[#This Row],[Estoque total]]-Tabela1[[#This Row],[Consumo]]</f>
        <v>4</v>
      </c>
      <c r="L319" s="7">
        <f>(Tabela1[[#This Row],[Valor total]]/Tabela1[[#This Row],[Estoque total]])*Tabela1[[#This Row],[Consumo]]</f>
        <v>0</v>
      </c>
    </row>
    <row r="320" spans="1:12" x14ac:dyDescent="0.25">
      <c r="A320" t="s">
        <v>628</v>
      </c>
      <c r="B320" t="s">
        <v>629</v>
      </c>
      <c r="C320" t="s">
        <v>2</v>
      </c>
      <c r="D320" t="s">
        <v>3</v>
      </c>
      <c r="E320" t="s">
        <v>4</v>
      </c>
      <c r="F320" t="s">
        <v>5</v>
      </c>
      <c r="G320" s="2">
        <v>12</v>
      </c>
      <c r="H320" t="s">
        <v>6</v>
      </c>
      <c r="I320" s="6">
        <v>646.79999999999995</v>
      </c>
      <c r="K320" s="4">
        <f>Tabela1[[#This Row],[Estoque total]]-Tabela1[[#This Row],[Consumo]]</f>
        <v>12</v>
      </c>
      <c r="L320" s="7">
        <f>(Tabela1[[#This Row],[Valor total]]/Tabela1[[#This Row],[Estoque total]])*Tabela1[[#This Row],[Consumo]]</f>
        <v>0</v>
      </c>
    </row>
    <row r="321" spans="1:12" x14ac:dyDescent="0.25">
      <c r="A321" t="s">
        <v>630</v>
      </c>
      <c r="B321" t="s">
        <v>631</v>
      </c>
      <c r="C321" t="s">
        <v>2</v>
      </c>
      <c r="D321" t="s">
        <v>3</v>
      </c>
      <c r="E321" t="s">
        <v>4</v>
      </c>
      <c r="F321" t="s">
        <v>5</v>
      </c>
      <c r="G321" s="2">
        <v>80</v>
      </c>
      <c r="H321" t="s">
        <v>6</v>
      </c>
      <c r="I321" s="6">
        <v>4155.2</v>
      </c>
      <c r="K321" s="4">
        <f>Tabela1[[#This Row],[Estoque total]]-Tabela1[[#This Row],[Consumo]]</f>
        <v>80</v>
      </c>
      <c r="L321" s="7">
        <f>(Tabela1[[#This Row],[Valor total]]/Tabela1[[#This Row],[Estoque total]])*Tabela1[[#This Row],[Consumo]]</f>
        <v>0</v>
      </c>
    </row>
    <row r="322" spans="1:12" x14ac:dyDescent="0.25">
      <c r="A322" t="s">
        <v>632</v>
      </c>
      <c r="B322" t="s">
        <v>633</v>
      </c>
      <c r="C322" t="s">
        <v>2</v>
      </c>
      <c r="D322" t="s">
        <v>3</v>
      </c>
      <c r="E322" t="s">
        <v>4</v>
      </c>
      <c r="F322" t="s">
        <v>5</v>
      </c>
      <c r="G322" s="2">
        <v>52</v>
      </c>
      <c r="H322" t="s">
        <v>6</v>
      </c>
      <c r="I322" s="6">
        <v>368.16</v>
      </c>
      <c r="K322" s="4">
        <f>Tabela1[[#This Row],[Estoque total]]-Tabela1[[#This Row],[Consumo]]</f>
        <v>52</v>
      </c>
      <c r="L322" s="7">
        <f>(Tabela1[[#This Row],[Valor total]]/Tabela1[[#This Row],[Estoque total]])*Tabela1[[#This Row],[Consumo]]</f>
        <v>0</v>
      </c>
    </row>
    <row r="323" spans="1:12" x14ac:dyDescent="0.25">
      <c r="A323" t="s">
        <v>634</v>
      </c>
      <c r="B323" t="s">
        <v>635</v>
      </c>
      <c r="C323" t="s">
        <v>2</v>
      </c>
      <c r="D323" t="s">
        <v>3</v>
      </c>
      <c r="E323" t="s">
        <v>4</v>
      </c>
      <c r="F323" t="s">
        <v>5</v>
      </c>
      <c r="G323" s="2">
        <v>42</v>
      </c>
      <c r="H323" t="s">
        <v>6</v>
      </c>
      <c r="I323" s="6">
        <v>18.059999999999999</v>
      </c>
      <c r="K323" s="4">
        <f>Tabela1[[#This Row],[Estoque total]]-Tabela1[[#This Row],[Consumo]]</f>
        <v>42</v>
      </c>
      <c r="L323" s="7">
        <f>(Tabela1[[#This Row],[Valor total]]/Tabela1[[#This Row],[Estoque total]])*Tabela1[[#This Row],[Consumo]]</f>
        <v>0</v>
      </c>
    </row>
    <row r="324" spans="1:12" x14ac:dyDescent="0.25">
      <c r="A324" t="s">
        <v>636</v>
      </c>
      <c r="B324" t="s">
        <v>637</v>
      </c>
      <c r="C324" t="s">
        <v>2</v>
      </c>
      <c r="D324" t="s">
        <v>3</v>
      </c>
      <c r="E324" t="s">
        <v>4</v>
      </c>
      <c r="F324" t="s">
        <v>19</v>
      </c>
      <c r="G324" s="2">
        <v>340</v>
      </c>
      <c r="H324" t="s">
        <v>6</v>
      </c>
      <c r="I324" s="6">
        <v>1309</v>
      </c>
      <c r="K324" s="4">
        <f>Tabela1[[#This Row],[Estoque total]]-Tabela1[[#This Row],[Consumo]]</f>
        <v>340</v>
      </c>
      <c r="L324" s="7">
        <f>(Tabela1[[#This Row],[Valor total]]/Tabela1[[#This Row],[Estoque total]])*Tabela1[[#This Row],[Consumo]]</f>
        <v>0</v>
      </c>
    </row>
    <row r="325" spans="1:12" x14ac:dyDescent="0.25">
      <c r="A325" t="s">
        <v>638</v>
      </c>
      <c r="B325" t="s">
        <v>639</v>
      </c>
      <c r="C325" t="s">
        <v>2</v>
      </c>
      <c r="D325" t="s">
        <v>3</v>
      </c>
      <c r="E325" t="s">
        <v>4</v>
      </c>
      <c r="F325" t="s">
        <v>19</v>
      </c>
      <c r="G325" s="2">
        <v>1</v>
      </c>
      <c r="H325" t="s">
        <v>6</v>
      </c>
      <c r="I325" s="6">
        <v>1.3</v>
      </c>
      <c r="J325">
        <v>1</v>
      </c>
      <c r="K325" s="4">
        <f>Tabela1[[#This Row],[Estoque total]]-Tabela1[[#This Row],[Consumo]]</f>
        <v>0</v>
      </c>
      <c r="L325" s="7">
        <f>(Tabela1[[#This Row],[Valor total]]/Tabela1[[#This Row],[Estoque total]])*Tabela1[[#This Row],[Consumo]]</f>
        <v>1.3</v>
      </c>
    </row>
    <row r="326" spans="1:12" x14ac:dyDescent="0.25">
      <c r="A326" t="s">
        <v>640</v>
      </c>
      <c r="B326" t="s">
        <v>641</v>
      </c>
      <c r="C326" t="s">
        <v>2</v>
      </c>
      <c r="D326" t="s">
        <v>3</v>
      </c>
      <c r="E326" t="s">
        <v>4</v>
      </c>
      <c r="F326" t="s">
        <v>5</v>
      </c>
      <c r="G326" s="2">
        <v>3</v>
      </c>
      <c r="H326" t="s">
        <v>6</v>
      </c>
      <c r="I326" s="6">
        <v>0</v>
      </c>
      <c r="J326">
        <v>3</v>
      </c>
      <c r="K326" s="4">
        <f>Tabela1[[#This Row],[Estoque total]]-Tabela1[[#This Row],[Consumo]]</f>
        <v>0</v>
      </c>
      <c r="L326" s="7">
        <f>(Tabela1[[#This Row],[Valor total]]/Tabela1[[#This Row],[Estoque total]])*Tabela1[[#This Row],[Consumo]]</f>
        <v>0</v>
      </c>
    </row>
    <row r="327" spans="1:12" x14ac:dyDescent="0.25">
      <c r="A327" t="s">
        <v>642</v>
      </c>
      <c r="B327" t="s">
        <v>643</v>
      </c>
      <c r="C327" t="s">
        <v>2</v>
      </c>
      <c r="D327" t="s">
        <v>3</v>
      </c>
      <c r="E327" t="s">
        <v>4</v>
      </c>
      <c r="F327" t="s">
        <v>19</v>
      </c>
      <c r="G327" s="2">
        <v>2</v>
      </c>
      <c r="H327" t="s">
        <v>6</v>
      </c>
      <c r="I327" s="6">
        <v>36.58</v>
      </c>
      <c r="J327">
        <v>2</v>
      </c>
      <c r="K327" s="4">
        <f>Tabela1[[#This Row],[Estoque total]]-Tabela1[[#This Row],[Consumo]]</f>
        <v>0</v>
      </c>
      <c r="L327" s="7">
        <f>(Tabela1[[#This Row],[Valor total]]/Tabela1[[#This Row],[Estoque total]])*Tabela1[[#This Row],[Consumo]]</f>
        <v>36.58</v>
      </c>
    </row>
    <row r="328" spans="1:12" x14ac:dyDescent="0.25">
      <c r="A328" t="s">
        <v>644</v>
      </c>
      <c r="B328" t="s">
        <v>645</v>
      </c>
      <c r="C328" t="s">
        <v>2</v>
      </c>
      <c r="D328" t="s">
        <v>3</v>
      </c>
      <c r="E328" t="s">
        <v>4</v>
      </c>
      <c r="F328" t="s">
        <v>19</v>
      </c>
      <c r="G328" s="2">
        <v>2</v>
      </c>
      <c r="H328" t="s">
        <v>6</v>
      </c>
      <c r="I328" s="6">
        <v>23.7</v>
      </c>
      <c r="J328">
        <v>2</v>
      </c>
      <c r="K328" s="4">
        <f>Tabela1[[#This Row],[Estoque total]]-Tabela1[[#This Row],[Consumo]]</f>
        <v>0</v>
      </c>
      <c r="L328" s="7">
        <f>(Tabela1[[#This Row],[Valor total]]/Tabela1[[#This Row],[Estoque total]])*Tabela1[[#This Row],[Consumo]]</f>
        <v>23.7</v>
      </c>
    </row>
    <row r="329" spans="1:12" x14ac:dyDescent="0.25">
      <c r="A329" t="s">
        <v>646</v>
      </c>
      <c r="B329" t="s">
        <v>647</v>
      </c>
      <c r="C329" t="s">
        <v>2</v>
      </c>
      <c r="D329" t="s">
        <v>3</v>
      </c>
      <c r="E329" t="s">
        <v>4</v>
      </c>
      <c r="F329" t="s">
        <v>5</v>
      </c>
      <c r="G329" s="2">
        <v>50800</v>
      </c>
      <c r="H329" t="s">
        <v>532</v>
      </c>
      <c r="I329" s="6">
        <v>182880</v>
      </c>
      <c r="K329" s="4">
        <f>Tabela1[[#This Row],[Estoque total]]-Tabela1[[#This Row],[Consumo]]</f>
        <v>50800</v>
      </c>
      <c r="L329" s="7">
        <f>(Tabela1[[#This Row],[Valor total]]/Tabela1[[#This Row],[Estoque total]])*Tabela1[[#This Row],[Consumo]]</f>
        <v>0</v>
      </c>
    </row>
    <row r="330" spans="1:12" x14ac:dyDescent="0.25">
      <c r="A330" t="s">
        <v>648</v>
      </c>
      <c r="B330" t="s">
        <v>649</v>
      </c>
      <c r="C330" t="s">
        <v>2</v>
      </c>
      <c r="D330" t="s">
        <v>3</v>
      </c>
      <c r="E330" t="s">
        <v>4</v>
      </c>
      <c r="F330" t="s">
        <v>19</v>
      </c>
      <c r="G330" s="2">
        <v>60</v>
      </c>
      <c r="H330" t="s">
        <v>532</v>
      </c>
      <c r="I330" s="6">
        <v>180.6</v>
      </c>
      <c r="K330" s="4">
        <f>Tabela1[[#This Row],[Estoque total]]-Tabela1[[#This Row],[Consumo]]</f>
        <v>60</v>
      </c>
      <c r="L330" s="7">
        <f>(Tabela1[[#This Row],[Valor total]]/Tabela1[[#This Row],[Estoque total]])*Tabela1[[#This Row],[Consumo]]</f>
        <v>0</v>
      </c>
    </row>
    <row r="331" spans="1:12" x14ac:dyDescent="0.25">
      <c r="A331" t="s">
        <v>650</v>
      </c>
      <c r="B331" t="s">
        <v>651</v>
      </c>
      <c r="C331" t="s">
        <v>2</v>
      </c>
      <c r="D331" t="s">
        <v>3</v>
      </c>
      <c r="E331" t="s">
        <v>4</v>
      </c>
      <c r="F331" t="s">
        <v>5</v>
      </c>
      <c r="G331" s="2">
        <v>11</v>
      </c>
      <c r="H331" t="s">
        <v>6</v>
      </c>
      <c r="I331" s="6">
        <v>501.27</v>
      </c>
      <c r="K331" s="4">
        <f>Tabela1[[#This Row],[Estoque total]]-Tabela1[[#This Row],[Consumo]]</f>
        <v>11</v>
      </c>
      <c r="L331" s="7">
        <f>(Tabela1[[#This Row],[Valor total]]/Tabela1[[#This Row],[Estoque total]])*Tabela1[[#This Row],[Consumo]]</f>
        <v>0</v>
      </c>
    </row>
    <row r="332" spans="1:12" x14ac:dyDescent="0.25">
      <c r="A332" t="s">
        <v>652</v>
      </c>
      <c r="B332" t="s">
        <v>653</v>
      </c>
      <c r="C332" t="s">
        <v>2</v>
      </c>
      <c r="D332" t="s">
        <v>3</v>
      </c>
      <c r="E332" t="s">
        <v>4</v>
      </c>
      <c r="F332" t="s">
        <v>5</v>
      </c>
      <c r="G332" s="2">
        <v>12</v>
      </c>
      <c r="H332" t="s">
        <v>6</v>
      </c>
      <c r="I332" s="6">
        <v>635.04</v>
      </c>
      <c r="K332" s="4">
        <f>Tabela1[[#This Row],[Estoque total]]-Tabela1[[#This Row],[Consumo]]</f>
        <v>12</v>
      </c>
      <c r="L332" s="7">
        <f>(Tabela1[[#This Row],[Valor total]]/Tabela1[[#This Row],[Estoque total]])*Tabela1[[#This Row],[Consumo]]</f>
        <v>0</v>
      </c>
    </row>
    <row r="333" spans="1:12" x14ac:dyDescent="0.25">
      <c r="A333" t="s">
        <v>654</v>
      </c>
      <c r="B333" t="s">
        <v>655</v>
      </c>
      <c r="C333" t="s">
        <v>2</v>
      </c>
      <c r="D333" t="s">
        <v>3</v>
      </c>
      <c r="E333" t="s">
        <v>4</v>
      </c>
      <c r="F333" t="s">
        <v>19</v>
      </c>
      <c r="G333" s="2">
        <v>2</v>
      </c>
      <c r="H333" t="s">
        <v>6</v>
      </c>
      <c r="I333" s="6">
        <v>218.16</v>
      </c>
      <c r="K333" s="4">
        <f>Tabela1[[#This Row],[Estoque total]]-Tabela1[[#This Row],[Consumo]]</f>
        <v>2</v>
      </c>
      <c r="L333" s="7">
        <f>(Tabela1[[#This Row],[Valor total]]/Tabela1[[#This Row],[Estoque total]])*Tabela1[[#This Row],[Consumo]]</f>
        <v>0</v>
      </c>
    </row>
    <row r="334" spans="1:12" x14ac:dyDescent="0.25">
      <c r="A334" t="s">
        <v>656</v>
      </c>
      <c r="B334" t="s">
        <v>657</v>
      </c>
      <c r="C334" t="s">
        <v>2</v>
      </c>
      <c r="D334" t="s">
        <v>3</v>
      </c>
      <c r="E334" t="s">
        <v>4</v>
      </c>
      <c r="F334" t="s">
        <v>19</v>
      </c>
      <c r="G334" s="2">
        <v>3</v>
      </c>
      <c r="H334" t="s">
        <v>6</v>
      </c>
      <c r="I334" s="6">
        <v>60.6</v>
      </c>
      <c r="K334" s="4">
        <f>Tabela1[[#This Row],[Estoque total]]-Tabela1[[#This Row],[Consumo]]</f>
        <v>3</v>
      </c>
      <c r="L334" s="7">
        <f>(Tabela1[[#This Row],[Valor total]]/Tabela1[[#This Row],[Estoque total]])*Tabela1[[#This Row],[Consumo]]</f>
        <v>0</v>
      </c>
    </row>
    <row r="335" spans="1:12" x14ac:dyDescent="0.25">
      <c r="A335" t="s">
        <v>658</v>
      </c>
      <c r="B335" t="s">
        <v>659</v>
      </c>
      <c r="C335" t="s">
        <v>2</v>
      </c>
      <c r="D335" t="s">
        <v>3</v>
      </c>
      <c r="E335" t="s">
        <v>4</v>
      </c>
      <c r="F335" t="s">
        <v>5</v>
      </c>
      <c r="G335" s="2">
        <v>486</v>
      </c>
      <c r="H335" t="s">
        <v>6</v>
      </c>
      <c r="I335" s="6">
        <v>2745.9</v>
      </c>
      <c r="K335" s="4">
        <f>Tabela1[[#This Row],[Estoque total]]-Tabela1[[#This Row],[Consumo]]</f>
        <v>486</v>
      </c>
      <c r="L335" s="7">
        <f>(Tabela1[[#This Row],[Valor total]]/Tabela1[[#This Row],[Estoque total]])*Tabela1[[#This Row],[Consumo]]</f>
        <v>0</v>
      </c>
    </row>
    <row r="336" spans="1:12" x14ac:dyDescent="0.25">
      <c r="A336" t="s">
        <v>660</v>
      </c>
      <c r="B336" t="s">
        <v>661</v>
      </c>
      <c r="C336" t="s">
        <v>662</v>
      </c>
      <c r="D336" t="s">
        <v>3</v>
      </c>
      <c r="E336" t="s">
        <v>4</v>
      </c>
      <c r="F336" t="s">
        <v>19</v>
      </c>
      <c r="G336" s="2">
        <v>4</v>
      </c>
      <c r="H336" t="s">
        <v>6</v>
      </c>
      <c r="I336" s="6">
        <v>8.6</v>
      </c>
      <c r="J336">
        <v>4</v>
      </c>
      <c r="K336" s="4">
        <f>Tabela1[[#This Row],[Estoque total]]-Tabela1[[#This Row],[Consumo]]</f>
        <v>0</v>
      </c>
      <c r="L336" s="7">
        <f>(Tabela1[[#This Row],[Valor total]]/Tabela1[[#This Row],[Estoque total]])*Tabela1[[#This Row],[Consumo]]</f>
        <v>8.6</v>
      </c>
    </row>
    <row r="337" spans="1:12" x14ac:dyDescent="0.25">
      <c r="A337" t="s">
        <v>663</v>
      </c>
      <c r="B337" t="s">
        <v>664</v>
      </c>
      <c r="C337" t="s">
        <v>2</v>
      </c>
      <c r="D337" t="s">
        <v>3</v>
      </c>
      <c r="E337" t="s">
        <v>4</v>
      </c>
      <c r="F337" t="s">
        <v>19</v>
      </c>
      <c r="G337" s="2">
        <v>295</v>
      </c>
      <c r="H337" t="s">
        <v>6</v>
      </c>
      <c r="I337" s="6">
        <v>796.5</v>
      </c>
      <c r="K337" s="4">
        <f>Tabela1[[#This Row],[Estoque total]]-Tabela1[[#This Row],[Consumo]]</f>
        <v>295</v>
      </c>
      <c r="L337" s="7">
        <f>(Tabela1[[#This Row],[Valor total]]/Tabela1[[#This Row],[Estoque total]])*Tabela1[[#This Row],[Consumo]]</f>
        <v>0</v>
      </c>
    </row>
    <row r="338" spans="1:12" x14ac:dyDescent="0.25">
      <c r="A338" t="s">
        <v>663</v>
      </c>
      <c r="B338" t="s">
        <v>664</v>
      </c>
      <c r="C338" t="s">
        <v>2</v>
      </c>
      <c r="D338" t="s">
        <v>3</v>
      </c>
      <c r="E338" t="s">
        <v>4</v>
      </c>
      <c r="F338" t="s">
        <v>5</v>
      </c>
      <c r="G338" s="2">
        <v>3000</v>
      </c>
      <c r="H338" t="s">
        <v>6</v>
      </c>
      <c r="I338" s="6">
        <v>8100</v>
      </c>
      <c r="K338" s="4">
        <f>Tabela1[[#This Row],[Estoque total]]-Tabela1[[#This Row],[Consumo]]</f>
        <v>3000</v>
      </c>
      <c r="L338" s="7">
        <f>(Tabela1[[#This Row],[Valor total]]/Tabela1[[#This Row],[Estoque total]])*Tabela1[[#This Row],[Consumo]]</f>
        <v>0</v>
      </c>
    </row>
    <row r="339" spans="1:12" x14ac:dyDescent="0.25">
      <c r="A339" t="s">
        <v>665</v>
      </c>
      <c r="B339" t="s">
        <v>666</v>
      </c>
      <c r="C339" t="s">
        <v>2</v>
      </c>
      <c r="D339" t="s">
        <v>3</v>
      </c>
      <c r="E339" t="s">
        <v>4</v>
      </c>
      <c r="F339" t="s">
        <v>5</v>
      </c>
      <c r="G339" s="2">
        <v>21</v>
      </c>
      <c r="H339" t="s">
        <v>6</v>
      </c>
      <c r="I339" s="6">
        <v>1131.9000000000001</v>
      </c>
      <c r="K339" s="4">
        <f>Tabela1[[#This Row],[Estoque total]]-Tabela1[[#This Row],[Consumo]]</f>
        <v>21</v>
      </c>
      <c r="L339" s="7">
        <f>(Tabela1[[#This Row],[Valor total]]/Tabela1[[#This Row],[Estoque total]])*Tabela1[[#This Row],[Consumo]]</f>
        <v>0</v>
      </c>
    </row>
    <row r="340" spans="1:12" x14ac:dyDescent="0.25">
      <c r="A340" t="s">
        <v>667</v>
      </c>
      <c r="B340" t="s">
        <v>668</v>
      </c>
      <c r="C340" t="s">
        <v>2</v>
      </c>
      <c r="D340" t="s">
        <v>3</v>
      </c>
      <c r="E340" t="s">
        <v>4</v>
      </c>
      <c r="F340" t="s">
        <v>19</v>
      </c>
      <c r="G340" s="2">
        <v>2</v>
      </c>
      <c r="H340" t="s">
        <v>6</v>
      </c>
      <c r="I340" s="6">
        <v>2.92</v>
      </c>
      <c r="J340">
        <v>2</v>
      </c>
      <c r="K340" s="4">
        <f>Tabela1[[#This Row],[Estoque total]]-Tabela1[[#This Row],[Consumo]]</f>
        <v>0</v>
      </c>
      <c r="L340" s="7">
        <f>(Tabela1[[#This Row],[Valor total]]/Tabela1[[#This Row],[Estoque total]])*Tabela1[[#This Row],[Consumo]]</f>
        <v>2.92</v>
      </c>
    </row>
    <row r="341" spans="1:12" x14ac:dyDescent="0.25">
      <c r="A341" t="s">
        <v>669</v>
      </c>
      <c r="B341" t="s">
        <v>670</v>
      </c>
      <c r="C341" t="s">
        <v>671</v>
      </c>
      <c r="D341" t="s">
        <v>3</v>
      </c>
      <c r="E341" t="s">
        <v>4</v>
      </c>
      <c r="F341" t="s">
        <v>5</v>
      </c>
      <c r="G341" s="2">
        <v>1560</v>
      </c>
      <c r="H341" t="s">
        <v>6</v>
      </c>
      <c r="I341" s="6">
        <v>1840.8</v>
      </c>
      <c r="K341" s="4">
        <f>Tabela1[[#This Row],[Estoque total]]-Tabela1[[#This Row],[Consumo]]</f>
        <v>1560</v>
      </c>
      <c r="L341" s="7">
        <f>(Tabela1[[#This Row],[Valor total]]/Tabela1[[#This Row],[Estoque total]])*Tabela1[[#This Row],[Consumo]]</f>
        <v>0</v>
      </c>
    </row>
    <row r="342" spans="1:12" x14ac:dyDescent="0.25">
      <c r="A342" t="s">
        <v>672</v>
      </c>
      <c r="B342" t="s">
        <v>673</v>
      </c>
      <c r="C342" t="s">
        <v>2</v>
      </c>
      <c r="D342" t="s">
        <v>3</v>
      </c>
      <c r="E342" t="s">
        <v>4</v>
      </c>
      <c r="F342" t="s">
        <v>19</v>
      </c>
      <c r="G342" s="2">
        <v>8</v>
      </c>
      <c r="H342" t="s">
        <v>6</v>
      </c>
      <c r="I342" s="6">
        <v>11.12</v>
      </c>
      <c r="K342" s="4">
        <f>Tabela1[[#This Row],[Estoque total]]-Tabela1[[#This Row],[Consumo]]</f>
        <v>8</v>
      </c>
      <c r="L342" s="7">
        <f>(Tabela1[[#This Row],[Valor total]]/Tabela1[[#This Row],[Estoque total]])*Tabela1[[#This Row],[Consumo]]</f>
        <v>0</v>
      </c>
    </row>
    <row r="343" spans="1:12" x14ac:dyDescent="0.25">
      <c r="A343" t="s">
        <v>674</v>
      </c>
      <c r="B343" t="s">
        <v>675</v>
      </c>
      <c r="C343" t="s">
        <v>2</v>
      </c>
      <c r="D343" t="s">
        <v>3</v>
      </c>
      <c r="E343" t="s">
        <v>4</v>
      </c>
      <c r="F343" t="s">
        <v>19</v>
      </c>
      <c r="G343" s="2">
        <v>8</v>
      </c>
      <c r="H343" t="s">
        <v>6</v>
      </c>
      <c r="I343" s="6">
        <v>11.12</v>
      </c>
      <c r="K343" s="4">
        <f>Tabela1[[#This Row],[Estoque total]]-Tabela1[[#This Row],[Consumo]]</f>
        <v>8</v>
      </c>
      <c r="L343" s="7">
        <f>(Tabela1[[#This Row],[Valor total]]/Tabela1[[#This Row],[Estoque total]])*Tabela1[[#This Row],[Consumo]]</f>
        <v>0</v>
      </c>
    </row>
    <row r="344" spans="1:12" x14ac:dyDescent="0.25">
      <c r="A344" t="s">
        <v>676</v>
      </c>
      <c r="B344" t="s">
        <v>677</v>
      </c>
      <c r="C344" t="s">
        <v>2</v>
      </c>
      <c r="D344" t="s">
        <v>3</v>
      </c>
      <c r="E344" t="s">
        <v>4</v>
      </c>
      <c r="F344" t="s">
        <v>19</v>
      </c>
      <c r="G344" s="2">
        <v>10</v>
      </c>
      <c r="H344" t="s">
        <v>6</v>
      </c>
      <c r="I344" s="6">
        <v>13.9</v>
      </c>
      <c r="K344" s="4">
        <f>Tabela1[[#This Row],[Estoque total]]-Tabela1[[#This Row],[Consumo]]</f>
        <v>10</v>
      </c>
      <c r="L344" s="7">
        <f>(Tabela1[[#This Row],[Valor total]]/Tabela1[[#This Row],[Estoque total]])*Tabela1[[#This Row],[Consumo]]</f>
        <v>0</v>
      </c>
    </row>
    <row r="345" spans="1:12" x14ac:dyDescent="0.25">
      <c r="A345" t="s">
        <v>678</v>
      </c>
      <c r="B345" t="s">
        <v>679</v>
      </c>
      <c r="C345" t="s">
        <v>2</v>
      </c>
      <c r="D345" t="s">
        <v>3</v>
      </c>
      <c r="E345" t="s">
        <v>4</v>
      </c>
      <c r="F345" t="s">
        <v>19</v>
      </c>
      <c r="G345" s="2">
        <v>10</v>
      </c>
      <c r="H345" t="s">
        <v>6</v>
      </c>
      <c r="I345" s="6">
        <v>13.9</v>
      </c>
      <c r="K345" s="4">
        <f>Tabela1[[#This Row],[Estoque total]]-Tabela1[[#This Row],[Consumo]]</f>
        <v>10</v>
      </c>
      <c r="L345" s="7">
        <f>(Tabela1[[#This Row],[Valor total]]/Tabela1[[#This Row],[Estoque total]])*Tabela1[[#This Row],[Consumo]]</f>
        <v>0</v>
      </c>
    </row>
    <row r="346" spans="1:12" x14ac:dyDescent="0.25">
      <c r="A346" t="s">
        <v>680</v>
      </c>
      <c r="B346" t="s">
        <v>681</v>
      </c>
      <c r="C346" t="s">
        <v>2</v>
      </c>
      <c r="D346" t="s">
        <v>3</v>
      </c>
      <c r="E346" t="s">
        <v>4</v>
      </c>
      <c r="F346" t="s">
        <v>19</v>
      </c>
      <c r="G346" s="2">
        <v>10</v>
      </c>
      <c r="H346" t="s">
        <v>6</v>
      </c>
      <c r="I346" s="6">
        <v>13.9</v>
      </c>
      <c r="K346" s="4">
        <f>Tabela1[[#This Row],[Estoque total]]-Tabela1[[#This Row],[Consumo]]</f>
        <v>10</v>
      </c>
      <c r="L346" s="7">
        <f>(Tabela1[[#This Row],[Valor total]]/Tabela1[[#This Row],[Estoque total]])*Tabela1[[#This Row],[Consumo]]</f>
        <v>0</v>
      </c>
    </row>
    <row r="347" spans="1:12" x14ac:dyDescent="0.25">
      <c r="A347" t="s">
        <v>682</v>
      </c>
      <c r="B347" t="s">
        <v>683</v>
      </c>
      <c r="C347" t="s">
        <v>2</v>
      </c>
      <c r="D347" t="s">
        <v>3</v>
      </c>
      <c r="E347" t="s">
        <v>4</v>
      </c>
      <c r="F347" t="s">
        <v>19</v>
      </c>
      <c r="G347" s="2">
        <v>10</v>
      </c>
      <c r="H347" t="s">
        <v>6</v>
      </c>
      <c r="I347" s="6">
        <v>13.9</v>
      </c>
      <c r="K347" s="4">
        <f>Tabela1[[#This Row],[Estoque total]]-Tabela1[[#This Row],[Consumo]]</f>
        <v>10</v>
      </c>
      <c r="L347" s="7">
        <f>(Tabela1[[#This Row],[Valor total]]/Tabela1[[#This Row],[Estoque total]])*Tabela1[[#This Row],[Consumo]]</f>
        <v>0</v>
      </c>
    </row>
    <row r="348" spans="1:12" x14ac:dyDescent="0.25">
      <c r="A348" t="s">
        <v>684</v>
      </c>
      <c r="B348" t="s">
        <v>685</v>
      </c>
      <c r="C348" t="s">
        <v>2</v>
      </c>
      <c r="D348" t="s">
        <v>3</v>
      </c>
      <c r="E348" t="s">
        <v>4</v>
      </c>
      <c r="F348" t="s">
        <v>19</v>
      </c>
      <c r="G348" s="2">
        <v>10</v>
      </c>
      <c r="H348" t="s">
        <v>6</v>
      </c>
      <c r="I348" s="6">
        <v>13.9</v>
      </c>
      <c r="K348" s="4">
        <f>Tabela1[[#This Row],[Estoque total]]-Tabela1[[#This Row],[Consumo]]</f>
        <v>10</v>
      </c>
      <c r="L348" s="7">
        <f>(Tabela1[[#This Row],[Valor total]]/Tabela1[[#This Row],[Estoque total]])*Tabela1[[#This Row],[Consumo]]</f>
        <v>0</v>
      </c>
    </row>
    <row r="349" spans="1:12" x14ac:dyDescent="0.25">
      <c r="A349" t="s">
        <v>686</v>
      </c>
      <c r="B349" t="s">
        <v>687</v>
      </c>
      <c r="C349" t="s">
        <v>2</v>
      </c>
      <c r="D349" t="s">
        <v>3</v>
      </c>
      <c r="E349" t="s">
        <v>4</v>
      </c>
      <c r="F349" t="s">
        <v>19</v>
      </c>
      <c r="G349" s="2">
        <v>10</v>
      </c>
      <c r="H349" t="s">
        <v>6</v>
      </c>
      <c r="I349" s="6">
        <v>13.9</v>
      </c>
      <c r="K349" s="4">
        <f>Tabela1[[#This Row],[Estoque total]]-Tabela1[[#This Row],[Consumo]]</f>
        <v>10</v>
      </c>
      <c r="L349" s="7">
        <f>(Tabela1[[#This Row],[Valor total]]/Tabela1[[#This Row],[Estoque total]])*Tabela1[[#This Row],[Consumo]]</f>
        <v>0</v>
      </c>
    </row>
    <row r="350" spans="1:12" x14ac:dyDescent="0.25">
      <c r="A350" t="s">
        <v>688</v>
      </c>
      <c r="B350" t="s">
        <v>689</v>
      </c>
      <c r="C350" t="s">
        <v>2</v>
      </c>
      <c r="D350" t="s">
        <v>3</v>
      </c>
      <c r="E350" t="s">
        <v>4</v>
      </c>
      <c r="F350" t="s">
        <v>19</v>
      </c>
      <c r="G350" s="2">
        <v>10</v>
      </c>
      <c r="H350" t="s">
        <v>6</v>
      </c>
      <c r="I350" s="6">
        <v>13.9</v>
      </c>
      <c r="K350" s="4">
        <f>Tabela1[[#This Row],[Estoque total]]-Tabela1[[#This Row],[Consumo]]</f>
        <v>10</v>
      </c>
      <c r="L350" s="7">
        <f>(Tabela1[[#This Row],[Valor total]]/Tabela1[[#This Row],[Estoque total]])*Tabela1[[#This Row],[Consumo]]</f>
        <v>0</v>
      </c>
    </row>
    <row r="351" spans="1:12" x14ac:dyDescent="0.25">
      <c r="A351" t="s">
        <v>690</v>
      </c>
      <c r="B351" t="s">
        <v>691</v>
      </c>
      <c r="C351" t="s">
        <v>2</v>
      </c>
      <c r="D351" t="s">
        <v>3</v>
      </c>
      <c r="E351" t="s">
        <v>4</v>
      </c>
      <c r="F351" t="s">
        <v>19</v>
      </c>
      <c r="G351" s="2">
        <v>10</v>
      </c>
      <c r="H351" t="s">
        <v>6</v>
      </c>
      <c r="I351" s="6">
        <v>13.9</v>
      </c>
      <c r="K351" s="4">
        <f>Tabela1[[#This Row],[Estoque total]]-Tabela1[[#This Row],[Consumo]]</f>
        <v>10</v>
      </c>
      <c r="L351" s="7">
        <f>(Tabela1[[#This Row],[Valor total]]/Tabela1[[#This Row],[Estoque total]])*Tabela1[[#This Row],[Consumo]]</f>
        <v>0</v>
      </c>
    </row>
    <row r="352" spans="1:12" x14ac:dyDescent="0.25">
      <c r="A352" t="s">
        <v>692</v>
      </c>
      <c r="B352" t="s">
        <v>693</v>
      </c>
      <c r="C352" t="s">
        <v>2</v>
      </c>
      <c r="D352" t="s">
        <v>3</v>
      </c>
      <c r="E352" t="s">
        <v>4</v>
      </c>
      <c r="F352" t="s">
        <v>19</v>
      </c>
      <c r="G352" s="2">
        <v>10</v>
      </c>
      <c r="H352" t="s">
        <v>6</v>
      </c>
      <c r="I352" s="6">
        <v>13.9</v>
      </c>
      <c r="K352" s="4">
        <f>Tabela1[[#This Row],[Estoque total]]-Tabela1[[#This Row],[Consumo]]</f>
        <v>10</v>
      </c>
      <c r="L352" s="7">
        <f>(Tabela1[[#This Row],[Valor total]]/Tabela1[[#This Row],[Estoque total]])*Tabela1[[#This Row],[Consumo]]</f>
        <v>0</v>
      </c>
    </row>
    <row r="353" spans="1:12" x14ac:dyDescent="0.25">
      <c r="A353" t="s">
        <v>694</v>
      </c>
      <c r="B353" t="s">
        <v>695</v>
      </c>
      <c r="C353" t="s">
        <v>2</v>
      </c>
      <c r="D353" t="s">
        <v>3</v>
      </c>
      <c r="E353" t="s">
        <v>4</v>
      </c>
      <c r="F353" t="s">
        <v>19</v>
      </c>
      <c r="G353" s="2">
        <v>10</v>
      </c>
      <c r="H353" t="s">
        <v>6</v>
      </c>
      <c r="I353" s="6">
        <v>13.9</v>
      </c>
      <c r="K353" s="4">
        <f>Tabela1[[#This Row],[Estoque total]]-Tabela1[[#This Row],[Consumo]]</f>
        <v>10</v>
      </c>
      <c r="L353" s="7">
        <f>(Tabela1[[#This Row],[Valor total]]/Tabela1[[#This Row],[Estoque total]])*Tabela1[[#This Row],[Consumo]]</f>
        <v>0</v>
      </c>
    </row>
    <row r="354" spans="1:12" x14ac:dyDescent="0.25">
      <c r="A354" t="s">
        <v>696</v>
      </c>
      <c r="B354" t="s">
        <v>697</v>
      </c>
      <c r="C354" t="s">
        <v>2</v>
      </c>
      <c r="D354" t="s">
        <v>3</v>
      </c>
      <c r="E354" t="s">
        <v>4</v>
      </c>
      <c r="F354" t="s">
        <v>19</v>
      </c>
      <c r="G354" s="2">
        <v>10</v>
      </c>
      <c r="H354" t="s">
        <v>6</v>
      </c>
      <c r="I354" s="6">
        <v>13.9</v>
      </c>
      <c r="K354" s="4">
        <f>Tabela1[[#This Row],[Estoque total]]-Tabela1[[#This Row],[Consumo]]</f>
        <v>10</v>
      </c>
      <c r="L354" s="7">
        <f>(Tabela1[[#This Row],[Valor total]]/Tabela1[[#This Row],[Estoque total]])*Tabela1[[#This Row],[Consumo]]</f>
        <v>0</v>
      </c>
    </row>
    <row r="355" spans="1:12" x14ac:dyDescent="0.25">
      <c r="A355" t="s">
        <v>698</v>
      </c>
      <c r="B355" t="s">
        <v>699</v>
      </c>
      <c r="C355" t="s">
        <v>2</v>
      </c>
      <c r="D355" t="s">
        <v>3</v>
      </c>
      <c r="E355" t="s">
        <v>4</v>
      </c>
      <c r="F355" t="s">
        <v>19</v>
      </c>
      <c r="G355" s="2">
        <v>3</v>
      </c>
      <c r="H355" t="s">
        <v>6</v>
      </c>
      <c r="I355" s="6">
        <v>4.17</v>
      </c>
      <c r="K355" s="4">
        <f>Tabela1[[#This Row],[Estoque total]]-Tabela1[[#This Row],[Consumo]]</f>
        <v>3</v>
      </c>
      <c r="L355" s="7">
        <f>(Tabela1[[#This Row],[Valor total]]/Tabela1[[#This Row],[Estoque total]])*Tabela1[[#This Row],[Consumo]]</f>
        <v>0</v>
      </c>
    </row>
    <row r="356" spans="1:12" x14ac:dyDescent="0.25">
      <c r="A356" t="s">
        <v>700</v>
      </c>
      <c r="B356" t="s">
        <v>701</v>
      </c>
      <c r="C356" t="s">
        <v>2</v>
      </c>
      <c r="D356" t="s">
        <v>3</v>
      </c>
      <c r="E356" t="s">
        <v>4</v>
      </c>
      <c r="F356" t="s">
        <v>19</v>
      </c>
      <c r="G356" s="2">
        <v>10</v>
      </c>
      <c r="H356" t="s">
        <v>6</v>
      </c>
      <c r="I356" s="6">
        <v>13.9</v>
      </c>
      <c r="K356" s="4">
        <f>Tabela1[[#This Row],[Estoque total]]-Tabela1[[#This Row],[Consumo]]</f>
        <v>10</v>
      </c>
      <c r="L356" s="7">
        <f>(Tabela1[[#This Row],[Valor total]]/Tabela1[[#This Row],[Estoque total]])*Tabela1[[#This Row],[Consumo]]</f>
        <v>0</v>
      </c>
    </row>
    <row r="357" spans="1:12" x14ac:dyDescent="0.25">
      <c r="A357" t="s">
        <v>702</v>
      </c>
      <c r="B357" t="s">
        <v>703</v>
      </c>
      <c r="C357" t="s">
        <v>2</v>
      </c>
      <c r="D357" t="s">
        <v>3</v>
      </c>
      <c r="E357" t="s">
        <v>4</v>
      </c>
      <c r="F357" t="s">
        <v>19</v>
      </c>
      <c r="G357" s="2">
        <v>5</v>
      </c>
      <c r="H357" t="s">
        <v>6</v>
      </c>
      <c r="I357" s="6">
        <v>6.95</v>
      </c>
      <c r="K357" s="4">
        <f>Tabela1[[#This Row],[Estoque total]]-Tabela1[[#This Row],[Consumo]]</f>
        <v>5</v>
      </c>
      <c r="L357" s="7">
        <f>(Tabela1[[#This Row],[Valor total]]/Tabela1[[#This Row],[Estoque total]])*Tabela1[[#This Row],[Consumo]]</f>
        <v>0</v>
      </c>
    </row>
    <row r="358" spans="1:12" x14ac:dyDescent="0.25">
      <c r="A358" t="s">
        <v>704</v>
      </c>
      <c r="B358" t="s">
        <v>705</v>
      </c>
      <c r="C358" t="s">
        <v>2</v>
      </c>
      <c r="D358" t="s">
        <v>3</v>
      </c>
      <c r="E358" t="s">
        <v>4</v>
      </c>
      <c r="F358" t="s">
        <v>19</v>
      </c>
      <c r="G358" s="2">
        <v>5</v>
      </c>
      <c r="H358" t="s">
        <v>6</v>
      </c>
      <c r="I358" s="6">
        <v>6.95</v>
      </c>
      <c r="K358" s="4">
        <f>Tabela1[[#This Row],[Estoque total]]-Tabela1[[#This Row],[Consumo]]</f>
        <v>5</v>
      </c>
      <c r="L358" s="7">
        <f>(Tabela1[[#This Row],[Valor total]]/Tabela1[[#This Row],[Estoque total]])*Tabela1[[#This Row],[Consumo]]</f>
        <v>0</v>
      </c>
    </row>
    <row r="359" spans="1:12" x14ac:dyDescent="0.25">
      <c r="A359" t="s">
        <v>706</v>
      </c>
      <c r="B359" t="s">
        <v>707</v>
      </c>
      <c r="C359" t="s">
        <v>2</v>
      </c>
      <c r="D359" t="s">
        <v>3</v>
      </c>
      <c r="E359" t="s">
        <v>4</v>
      </c>
      <c r="F359" t="s">
        <v>19</v>
      </c>
      <c r="G359" s="2">
        <v>5</v>
      </c>
      <c r="H359" t="s">
        <v>6</v>
      </c>
      <c r="I359" s="6">
        <v>6.95</v>
      </c>
      <c r="K359" s="4">
        <f>Tabela1[[#This Row],[Estoque total]]-Tabela1[[#This Row],[Consumo]]</f>
        <v>5</v>
      </c>
      <c r="L359" s="7">
        <f>(Tabela1[[#This Row],[Valor total]]/Tabela1[[#This Row],[Estoque total]])*Tabela1[[#This Row],[Consumo]]</f>
        <v>0</v>
      </c>
    </row>
    <row r="360" spans="1:12" x14ac:dyDescent="0.25">
      <c r="A360" t="s">
        <v>708</v>
      </c>
      <c r="B360" t="s">
        <v>709</v>
      </c>
      <c r="C360" t="s">
        <v>2</v>
      </c>
      <c r="D360" t="s">
        <v>3</v>
      </c>
      <c r="E360" t="s">
        <v>4</v>
      </c>
      <c r="F360" t="s">
        <v>19</v>
      </c>
      <c r="G360" s="2">
        <v>10</v>
      </c>
      <c r="H360" t="s">
        <v>6</v>
      </c>
      <c r="I360" s="6">
        <v>13.9</v>
      </c>
      <c r="K360" s="4">
        <f>Tabela1[[#This Row],[Estoque total]]-Tabela1[[#This Row],[Consumo]]</f>
        <v>10</v>
      </c>
      <c r="L360" s="7">
        <f>(Tabela1[[#This Row],[Valor total]]/Tabela1[[#This Row],[Estoque total]])*Tabela1[[#This Row],[Consumo]]</f>
        <v>0</v>
      </c>
    </row>
    <row r="361" spans="1:12" x14ac:dyDescent="0.25">
      <c r="A361" t="s">
        <v>710</v>
      </c>
      <c r="B361" t="s">
        <v>711</v>
      </c>
      <c r="C361" t="s">
        <v>2</v>
      </c>
      <c r="D361" t="s">
        <v>3</v>
      </c>
      <c r="E361" t="s">
        <v>4</v>
      </c>
      <c r="F361" t="s">
        <v>19</v>
      </c>
      <c r="G361" s="2">
        <v>10</v>
      </c>
      <c r="H361" t="s">
        <v>6</v>
      </c>
      <c r="I361" s="6">
        <v>13.9</v>
      </c>
      <c r="K361" s="4">
        <f>Tabela1[[#This Row],[Estoque total]]-Tabela1[[#This Row],[Consumo]]</f>
        <v>10</v>
      </c>
      <c r="L361" s="7">
        <f>(Tabela1[[#This Row],[Valor total]]/Tabela1[[#This Row],[Estoque total]])*Tabela1[[#This Row],[Consumo]]</f>
        <v>0</v>
      </c>
    </row>
    <row r="362" spans="1:12" x14ac:dyDescent="0.25">
      <c r="A362" t="s">
        <v>712</v>
      </c>
      <c r="B362" t="s">
        <v>713</v>
      </c>
      <c r="C362" t="s">
        <v>2</v>
      </c>
      <c r="D362" t="s">
        <v>3</v>
      </c>
      <c r="E362" t="s">
        <v>4</v>
      </c>
      <c r="F362" t="s">
        <v>19</v>
      </c>
      <c r="G362" s="2">
        <v>10</v>
      </c>
      <c r="H362" t="s">
        <v>6</v>
      </c>
      <c r="I362" s="6">
        <v>13.9</v>
      </c>
      <c r="K362" s="4">
        <f>Tabela1[[#This Row],[Estoque total]]-Tabela1[[#This Row],[Consumo]]</f>
        <v>10</v>
      </c>
      <c r="L362" s="7">
        <f>(Tabela1[[#This Row],[Valor total]]/Tabela1[[#This Row],[Estoque total]])*Tabela1[[#This Row],[Consumo]]</f>
        <v>0</v>
      </c>
    </row>
    <row r="363" spans="1:12" x14ac:dyDescent="0.25">
      <c r="A363" t="s">
        <v>714</v>
      </c>
      <c r="B363" t="s">
        <v>715</v>
      </c>
      <c r="C363" t="s">
        <v>2</v>
      </c>
      <c r="D363" t="s">
        <v>3</v>
      </c>
      <c r="E363" t="s">
        <v>4</v>
      </c>
      <c r="F363" t="s">
        <v>19</v>
      </c>
      <c r="G363" s="2">
        <v>10</v>
      </c>
      <c r="H363" t="s">
        <v>6</v>
      </c>
      <c r="I363" s="6">
        <v>13.9</v>
      </c>
      <c r="K363" s="4">
        <f>Tabela1[[#This Row],[Estoque total]]-Tabela1[[#This Row],[Consumo]]</f>
        <v>10</v>
      </c>
      <c r="L363" s="7">
        <f>(Tabela1[[#This Row],[Valor total]]/Tabela1[[#This Row],[Estoque total]])*Tabela1[[#This Row],[Consumo]]</f>
        <v>0</v>
      </c>
    </row>
    <row r="364" spans="1:12" x14ac:dyDescent="0.25">
      <c r="A364" t="s">
        <v>716</v>
      </c>
      <c r="B364" t="s">
        <v>717</v>
      </c>
      <c r="C364" t="s">
        <v>2</v>
      </c>
      <c r="D364" t="s">
        <v>3</v>
      </c>
      <c r="E364" t="s">
        <v>4</v>
      </c>
      <c r="F364" t="s">
        <v>19</v>
      </c>
      <c r="G364" s="2">
        <v>10</v>
      </c>
      <c r="H364" t="s">
        <v>6</v>
      </c>
      <c r="I364" s="6">
        <v>13.9</v>
      </c>
      <c r="K364" s="4">
        <f>Tabela1[[#This Row],[Estoque total]]-Tabela1[[#This Row],[Consumo]]</f>
        <v>10</v>
      </c>
      <c r="L364" s="7">
        <f>(Tabela1[[#This Row],[Valor total]]/Tabela1[[#This Row],[Estoque total]])*Tabela1[[#This Row],[Consumo]]</f>
        <v>0</v>
      </c>
    </row>
    <row r="365" spans="1:12" x14ac:dyDescent="0.25">
      <c r="A365" t="s">
        <v>718</v>
      </c>
      <c r="B365" t="s">
        <v>719</v>
      </c>
      <c r="C365" t="s">
        <v>2</v>
      </c>
      <c r="D365" t="s">
        <v>3</v>
      </c>
      <c r="E365" t="s">
        <v>4</v>
      </c>
      <c r="F365" t="s">
        <v>19</v>
      </c>
      <c r="G365" s="2">
        <v>10</v>
      </c>
      <c r="H365" t="s">
        <v>6</v>
      </c>
      <c r="I365" s="6">
        <v>13.9</v>
      </c>
      <c r="K365" s="4">
        <f>Tabela1[[#This Row],[Estoque total]]-Tabela1[[#This Row],[Consumo]]</f>
        <v>10</v>
      </c>
      <c r="L365" s="7">
        <f>(Tabela1[[#This Row],[Valor total]]/Tabela1[[#This Row],[Estoque total]])*Tabela1[[#This Row],[Consumo]]</f>
        <v>0</v>
      </c>
    </row>
    <row r="366" spans="1:12" x14ac:dyDescent="0.25">
      <c r="A366" t="s">
        <v>720</v>
      </c>
      <c r="B366" t="s">
        <v>721</v>
      </c>
      <c r="C366" t="s">
        <v>2</v>
      </c>
      <c r="D366" t="s">
        <v>3</v>
      </c>
      <c r="E366" t="s">
        <v>4</v>
      </c>
      <c r="F366" t="s">
        <v>19</v>
      </c>
      <c r="G366" s="2">
        <v>10</v>
      </c>
      <c r="H366" t="s">
        <v>6</v>
      </c>
      <c r="I366" s="6">
        <v>13.9</v>
      </c>
      <c r="K366" s="4">
        <f>Tabela1[[#This Row],[Estoque total]]-Tabela1[[#This Row],[Consumo]]</f>
        <v>10</v>
      </c>
      <c r="L366" s="7">
        <f>(Tabela1[[#This Row],[Valor total]]/Tabela1[[#This Row],[Estoque total]])*Tabela1[[#This Row],[Consumo]]</f>
        <v>0</v>
      </c>
    </row>
    <row r="367" spans="1:12" x14ac:dyDescent="0.25">
      <c r="A367" t="s">
        <v>722</v>
      </c>
      <c r="B367" t="s">
        <v>723</v>
      </c>
      <c r="C367" t="s">
        <v>2</v>
      </c>
      <c r="D367" t="s">
        <v>3</v>
      </c>
      <c r="E367" t="s">
        <v>4</v>
      </c>
      <c r="F367" t="s">
        <v>19</v>
      </c>
      <c r="G367" s="2">
        <v>10</v>
      </c>
      <c r="H367" t="s">
        <v>6</v>
      </c>
      <c r="I367" s="6">
        <v>13.9</v>
      </c>
      <c r="K367" s="4">
        <f>Tabela1[[#This Row],[Estoque total]]-Tabela1[[#This Row],[Consumo]]</f>
        <v>10</v>
      </c>
      <c r="L367" s="7">
        <f>(Tabela1[[#This Row],[Valor total]]/Tabela1[[#This Row],[Estoque total]])*Tabela1[[#This Row],[Consumo]]</f>
        <v>0</v>
      </c>
    </row>
    <row r="368" spans="1:12" x14ac:dyDescent="0.25">
      <c r="A368" t="s">
        <v>724</v>
      </c>
      <c r="B368" t="s">
        <v>725</v>
      </c>
      <c r="C368" t="s">
        <v>2</v>
      </c>
      <c r="D368" t="s">
        <v>3</v>
      </c>
      <c r="E368" t="s">
        <v>4</v>
      </c>
      <c r="F368" t="s">
        <v>19</v>
      </c>
      <c r="G368" s="2">
        <v>9</v>
      </c>
      <c r="H368" t="s">
        <v>6</v>
      </c>
      <c r="I368" s="6">
        <v>12.51</v>
      </c>
      <c r="K368" s="4">
        <f>Tabela1[[#This Row],[Estoque total]]-Tabela1[[#This Row],[Consumo]]</f>
        <v>9</v>
      </c>
      <c r="L368" s="7">
        <f>(Tabela1[[#This Row],[Valor total]]/Tabela1[[#This Row],[Estoque total]])*Tabela1[[#This Row],[Consumo]]</f>
        <v>0</v>
      </c>
    </row>
    <row r="369" spans="1:12" x14ac:dyDescent="0.25">
      <c r="A369" t="s">
        <v>726</v>
      </c>
      <c r="B369" t="s">
        <v>727</v>
      </c>
      <c r="C369" t="s">
        <v>2</v>
      </c>
      <c r="D369" t="s">
        <v>3</v>
      </c>
      <c r="E369" t="s">
        <v>4</v>
      </c>
      <c r="F369" t="s">
        <v>19</v>
      </c>
      <c r="G369" s="2">
        <v>8</v>
      </c>
      <c r="H369" t="s">
        <v>6</v>
      </c>
      <c r="I369" s="6">
        <v>11.12</v>
      </c>
      <c r="K369" s="4">
        <f>Tabela1[[#This Row],[Estoque total]]-Tabela1[[#This Row],[Consumo]]</f>
        <v>8</v>
      </c>
      <c r="L369" s="7">
        <f>(Tabela1[[#This Row],[Valor total]]/Tabela1[[#This Row],[Estoque total]])*Tabela1[[#This Row],[Consumo]]</f>
        <v>0</v>
      </c>
    </row>
    <row r="370" spans="1:12" x14ac:dyDescent="0.25">
      <c r="A370" t="s">
        <v>728</v>
      </c>
      <c r="B370" t="s">
        <v>729</v>
      </c>
      <c r="C370" t="s">
        <v>2</v>
      </c>
      <c r="D370" t="s">
        <v>3</v>
      </c>
      <c r="E370" t="s">
        <v>4</v>
      </c>
      <c r="F370" t="s">
        <v>19</v>
      </c>
      <c r="G370" s="2">
        <v>8</v>
      </c>
      <c r="H370" t="s">
        <v>6</v>
      </c>
      <c r="I370" s="6">
        <v>11.12</v>
      </c>
      <c r="K370" s="4">
        <f>Tabela1[[#This Row],[Estoque total]]-Tabela1[[#This Row],[Consumo]]</f>
        <v>8</v>
      </c>
      <c r="L370" s="7">
        <f>(Tabela1[[#This Row],[Valor total]]/Tabela1[[#This Row],[Estoque total]])*Tabela1[[#This Row],[Consumo]]</f>
        <v>0</v>
      </c>
    </row>
    <row r="371" spans="1:12" x14ac:dyDescent="0.25">
      <c r="A371" t="s">
        <v>730</v>
      </c>
      <c r="B371" t="s">
        <v>731</v>
      </c>
      <c r="C371" t="s">
        <v>2</v>
      </c>
      <c r="D371" t="s">
        <v>3</v>
      </c>
      <c r="E371" t="s">
        <v>4</v>
      </c>
      <c r="F371" t="s">
        <v>19</v>
      </c>
      <c r="G371" s="2">
        <v>10</v>
      </c>
      <c r="H371" t="s">
        <v>6</v>
      </c>
      <c r="I371" s="6">
        <v>13.9</v>
      </c>
      <c r="K371" s="4">
        <f>Tabela1[[#This Row],[Estoque total]]-Tabela1[[#This Row],[Consumo]]</f>
        <v>10</v>
      </c>
      <c r="L371" s="7">
        <f>(Tabela1[[#This Row],[Valor total]]/Tabela1[[#This Row],[Estoque total]])*Tabela1[[#This Row],[Consumo]]</f>
        <v>0</v>
      </c>
    </row>
    <row r="372" spans="1:12" x14ac:dyDescent="0.25">
      <c r="A372" t="s">
        <v>732</v>
      </c>
      <c r="B372" t="s">
        <v>733</v>
      </c>
      <c r="C372" t="s">
        <v>2</v>
      </c>
      <c r="D372" t="s">
        <v>3</v>
      </c>
      <c r="E372" t="s">
        <v>4</v>
      </c>
      <c r="F372" t="s">
        <v>19</v>
      </c>
      <c r="G372" s="2">
        <v>9</v>
      </c>
      <c r="H372" t="s">
        <v>6</v>
      </c>
      <c r="I372" s="6">
        <v>12.51</v>
      </c>
      <c r="K372" s="4">
        <f>Tabela1[[#This Row],[Estoque total]]-Tabela1[[#This Row],[Consumo]]</f>
        <v>9</v>
      </c>
      <c r="L372" s="7">
        <f>(Tabela1[[#This Row],[Valor total]]/Tabela1[[#This Row],[Estoque total]])*Tabela1[[#This Row],[Consumo]]</f>
        <v>0</v>
      </c>
    </row>
    <row r="373" spans="1:12" x14ac:dyDescent="0.25">
      <c r="A373" t="s">
        <v>734</v>
      </c>
      <c r="B373" t="s">
        <v>735</v>
      </c>
      <c r="C373" t="s">
        <v>2</v>
      </c>
      <c r="D373" t="s">
        <v>3</v>
      </c>
      <c r="E373" t="s">
        <v>4</v>
      </c>
      <c r="F373" t="s">
        <v>19</v>
      </c>
      <c r="G373" s="2">
        <v>1</v>
      </c>
      <c r="H373" t="s">
        <v>6</v>
      </c>
      <c r="I373" s="6">
        <v>9.7200000000000006</v>
      </c>
      <c r="J373">
        <v>1</v>
      </c>
      <c r="K373" s="4">
        <f>Tabela1[[#This Row],[Estoque total]]-Tabela1[[#This Row],[Consumo]]</f>
        <v>0</v>
      </c>
      <c r="L373" s="7">
        <f>(Tabela1[[#This Row],[Valor total]]/Tabela1[[#This Row],[Estoque total]])*Tabela1[[#This Row],[Consumo]]</f>
        <v>9.7200000000000006</v>
      </c>
    </row>
    <row r="374" spans="1:12" x14ac:dyDescent="0.25">
      <c r="A374" t="s">
        <v>736</v>
      </c>
      <c r="B374" t="s">
        <v>737</v>
      </c>
      <c r="C374" t="s">
        <v>2</v>
      </c>
      <c r="D374" t="s">
        <v>3</v>
      </c>
      <c r="E374" t="s">
        <v>4</v>
      </c>
      <c r="F374" t="s">
        <v>5</v>
      </c>
      <c r="G374" s="2">
        <v>38</v>
      </c>
      <c r="H374" t="s">
        <v>6</v>
      </c>
      <c r="I374" s="6">
        <v>3230</v>
      </c>
      <c r="K374" s="4">
        <f>Tabela1[[#This Row],[Estoque total]]-Tabela1[[#This Row],[Consumo]]</f>
        <v>38</v>
      </c>
      <c r="L374" s="7">
        <f>(Tabela1[[#This Row],[Valor total]]/Tabela1[[#This Row],[Estoque total]])*Tabela1[[#This Row],[Consumo]]</f>
        <v>0</v>
      </c>
    </row>
    <row r="375" spans="1:12" x14ac:dyDescent="0.25">
      <c r="A375" t="s">
        <v>738</v>
      </c>
      <c r="B375" t="s">
        <v>739</v>
      </c>
      <c r="C375" t="s">
        <v>2</v>
      </c>
      <c r="D375" t="s">
        <v>3</v>
      </c>
      <c r="E375" t="s">
        <v>4</v>
      </c>
      <c r="F375" t="s">
        <v>5</v>
      </c>
      <c r="G375" s="2">
        <v>0.5</v>
      </c>
      <c r="H375" t="s">
        <v>6</v>
      </c>
      <c r="I375" s="6">
        <v>11.15</v>
      </c>
      <c r="K375" s="4">
        <f>Tabela1[[#This Row],[Estoque total]]-Tabela1[[#This Row],[Consumo]]</f>
        <v>0.5</v>
      </c>
      <c r="L375" s="7">
        <f>(Tabela1[[#This Row],[Valor total]]/Tabela1[[#This Row],[Estoque total]])*Tabela1[[#This Row],[Consumo]]</f>
        <v>0</v>
      </c>
    </row>
    <row r="376" spans="1:12" x14ac:dyDescent="0.25">
      <c r="A376" t="s">
        <v>740</v>
      </c>
      <c r="B376" t="s">
        <v>741</v>
      </c>
      <c r="C376" t="s">
        <v>2</v>
      </c>
      <c r="D376" t="s">
        <v>3</v>
      </c>
      <c r="E376" t="s">
        <v>4</v>
      </c>
      <c r="F376" t="s">
        <v>5</v>
      </c>
      <c r="G376" s="2">
        <v>24</v>
      </c>
      <c r="H376" t="s">
        <v>6</v>
      </c>
      <c r="I376" s="6">
        <v>16.079999999999998</v>
      </c>
      <c r="K376" s="4">
        <f>Tabela1[[#This Row],[Estoque total]]-Tabela1[[#This Row],[Consumo]]</f>
        <v>24</v>
      </c>
      <c r="L376" s="7">
        <f>(Tabela1[[#This Row],[Valor total]]/Tabela1[[#This Row],[Estoque total]])*Tabela1[[#This Row],[Consumo]]</f>
        <v>0</v>
      </c>
    </row>
    <row r="377" spans="1:12" x14ac:dyDescent="0.25">
      <c r="A377" t="s">
        <v>742</v>
      </c>
      <c r="B377" t="s">
        <v>743</v>
      </c>
      <c r="C377" t="s">
        <v>2</v>
      </c>
      <c r="D377" t="s">
        <v>3</v>
      </c>
      <c r="E377" t="s">
        <v>4</v>
      </c>
      <c r="F377" t="s">
        <v>5</v>
      </c>
      <c r="G377" s="2">
        <v>1</v>
      </c>
      <c r="H377" t="s">
        <v>6</v>
      </c>
      <c r="I377" s="6">
        <v>12.5</v>
      </c>
      <c r="K377" s="4">
        <f>Tabela1[[#This Row],[Estoque total]]-Tabela1[[#This Row],[Consumo]]</f>
        <v>1</v>
      </c>
      <c r="L377" s="7">
        <f>(Tabela1[[#This Row],[Valor total]]/Tabela1[[#This Row],[Estoque total]])*Tabela1[[#This Row],[Consumo]]</f>
        <v>0</v>
      </c>
    </row>
    <row r="378" spans="1:12" x14ac:dyDescent="0.25">
      <c r="A378" t="s">
        <v>744</v>
      </c>
      <c r="B378" t="s">
        <v>745</v>
      </c>
      <c r="C378" t="s">
        <v>2</v>
      </c>
      <c r="D378" t="s">
        <v>3</v>
      </c>
      <c r="E378" t="s">
        <v>4</v>
      </c>
      <c r="F378" t="s">
        <v>5</v>
      </c>
      <c r="G378" s="2">
        <v>2.5</v>
      </c>
      <c r="H378" t="s">
        <v>6</v>
      </c>
      <c r="I378" s="6">
        <v>19.75</v>
      </c>
      <c r="K378" s="4">
        <f>Tabela1[[#This Row],[Estoque total]]-Tabela1[[#This Row],[Consumo]]</f>
        <v>2.5</v>
      </c>
      <c r="L378" s="7">
        <f>(Tabela1[[#This Row],[Valor total]]/Tabela1[[#This Row],[Estoque total]])*Tabela1[[#This Row],[Consumo]]</f>
        <v>0</v>
      </c>
    </row>
    <row r="379" spans="1:12" x14ac:dyDescent="0.25">
      <c r="A379" t="s">
        <v>746</v>
      </c>
      <c r="B379" t="s">
        <v>747</v>
      </c>
      <c r="C379" t="s">
        <v>2</v>
      </c>
      <c r="D379" t="s">
        <v>3</v>
      </c>
      <c r="E379" t="s">
        <v>4</v>
      </c>
      <c r="F379" t="s">
        <v>5</v>
      </c>
      <c r="G379" s="2">
        <v>1</v>
      </c>
      <c r="H379" t="s">
        <v>6</v>
      </c>
      <c r="I379" s="6">
        <v>9.4</v>
      </c>
      <c r="K379" s="4">
        <f>Tabela1[[#This Row],[Estoque total]]-Tabela1[[#This Row],[Consumo]]</f>
        <v>1</v>
      </c>
      <c r="L379" s="7">
        <f>(Tabela1[[#This Row],[Valor total]]/Tabela1[[#This Row],[Estoque total]])*Tabela1[[#This Row],[Consumo]]</f>
        <v>0</v>
      </c>
    </row>
    <row r="380" spans="1:12" x14ac:dyDescent="0.25">
      <c r="A380" t="s">
        <v>748</v>
      </c>
      <c r="B380" t="s">
        <v>749</v>
      </c>
      <c r="C380" t="s">
        <v>2</v>
      </c>
      <c r="D380" t="s">
        <v>3</v>
      </c>
      <c r="E380" t="s">
        <v>4</v>
      </c>
      <c r="F380" t="s">
        <v>5</v>
      </c>
      <c r="G380" s="2">
        <v>5</v>
      </c>
      <c r="H380" t="s">
        <v>6</v>
      </c>
      <c r="I380" s="6">
        <v>51</v>
      </c>
      <c r="K380" s="4">
        <f>Tabela1[[#This Row],[Estoque total]]-Tabela1[[#This Row],[Consumo]]</f>
        <v>5</v>
      </c>
      <c r="L380" s="7">
        <f>(Tabela1[[#This Row],[Valor total]]/Tabela1[[#This Row],[Estoque total]])*Tabela1[[#This Row],[Consumo]]</f>
        <v>0</v>
      </c>
    </row>
    <row r="381" spans="1:12" x14ac:dyDescent="0.25">
      <c r="A381" t="s">
        <v>750</v>
      </c>
      <c r="B381" t="s">
        <v>751</v>
      </c>
      <c r="C381" t="s">
        <v>2</v>
      </c>
      <c r="D381" t="s">
        <v>3</v>
      </c>
      <c r="E381" t="s">
        <v>4</v>
      </c>
      <c r="F381" t="s">
        <v>5</v>
      </c>
      <c r="G381" s="2">
        <v>0.5</v>
      </c>
      <c r="H381" t="s">
        <v>6</v>
      </c>
      <c r="I381" s="6">
        <v>7.78</v>
      </c>
      <c r="K381" s="4">
        <f>Tabela1[[#This Row],[Estoque total]]-Tabela1[[#This Row],[Consumo]]</f>
        <v>0.5</v>
      </c>
      <c r="L381" s="7">
        <f>(Tabela1[[#This Row],[Valor total]]/Tabela1[[#This Row],[Estoque total]])*Tabela1[[#This Row],[Consumo]]</f>
        <v>0</v>
      </c>
    </row>
    <row r="382" spans="1:12" x14ac:dyDescent="0.25">
      <c r="A382" t="s">
        <v>752</v>
      </c>
      <c r="B382" t="s">
        <v>753</v>
      </c>
      <c r="C382" t="s">
        <v>2</v>
      </c>
      <c r="D382" t="s">
        <v>3</v>
      </c>
      <c r="E382" t="s">
        <v>4</v>
      </c>
      <c r="F382" t="s">
        <v>5</v>
      </c>
      <c r="G382" s="2">
        <v>112</v>
      </c>
      <c r="H382" t="s">
        <v>6</v>
      </c>
      <c r="I382" s="6">
        <v>2757.3</v>
      </c>
      <c r="K382" s="4">
        <f>Tabela1[[#This Row],[Estoque total]]-Tabela1[[#This Row],[Consumo]]</f>
        <v>112</v>
      </c>
      <c r="L382" s="7">
        <f>(Tabela1[[#This Row],[Valor total]]/Tabela1[[#This Row],[Estoque total]])*Tabela1[[#This Row],[Consumo]]</f>
        <v>0</v>
      </c>
    </row>
    <row r="383" spans="1:12" x14ac:dyDescent="0.25">
      <c r="A383" t="s">
        <v>754</v>
      </c>
      <c r="B383" t="s">
        <v>755</v>
      </c>
      <c r="C383" t="s">
        <v>2</v>
      </c>
      <c r="D383" t="s">
        <v>3</v>
      </c>
      <c r="E383" t="s">
        <v>4</v>
      </c>
      <c r="F383" t="s">
        <v>5</v>
      </c>
      <c r="G383" s="2">
        <v>1</v>
      </c>
      <c r="H383" t="s">
        <v>6</v>
      </c>
      <c r="I383" s="6">
        <v>17.600000000000001</v>
      </c>
      <c r="K383" s="4">
        <f>Tabela1[[#This Row],[Estoque total]]-Tabela1[[#This Row],[Consumo]]</f>
        <v>1</v>
      </c>
      <c r="L383" s="7">
        <f>(Tabela1[[#This Row],[Valor total]]/Tabela1[[#This Row],[Estoque total]])*Tabela1[[#This Row],[Consumo]]</f>
        <v>0</v>
      </c>
    </row>
    <row r="384" spans="1:12" x14ac:dyDescent="0.25">
      <c r="A384" t="s">
        <v>756</v>
      </c>
      <c r="B384" t="s">
        <v>757</v>
      </c>
      <c r="C384" t="s">
        <v>2</v>
      </c>
      <c r="D384" t="s">
        <v>3</v>
      </c>
      <c r="E384" t="s">
        <v>4</v>
      </c>
      <c r="F384" t="s">
        <v>5</v>
      </c>
      <c r="G384" s="2">
        <v>4</v>
      </c>
      <c r="H384" t="s">
        <v>6</v>
      </c>
      <c r="I384" s="6">
        <v>108</v>
      </c>
      <c r="K384" s="4">
        <f>Tabela1[[#This Row],[Estoque total]]-Tabela1[[#This Row],[Consumo]]</f>
        <v>4</v>
      </c>
      <c r="L384" s="7">
        <f>(Tabela1[[#This Row],[Valor total]]/Tabela1[[#This Row],[Estoque total]])*Tabela1[[#This Row],[Consumo]]</f>
        <v>0</v>
      </c>
    </row>
    <row r="385" spans="1:12" x14ac:dyDescent="0.25">
      <c r="A385" t="s">
        <v>758</v>
      </c>
      <c r="B385" t="s">
        <v>759</v>
      </c>
      <c r="C385" t="s">
        <v>2</v>
      </c>
      <c r="D385" t="s">
        <v>3</v>
      </c>
      <c r="E385" t="s">
        <v>4</v>
      </c>
      <c r="F385" t="s">
        <v>19</v>
      </c>
      <c r="G385" s="2">
        <v>2</v>
      </c>
      <c r="H385" t="s">
        <v>6</v>
      </c>
      <c r="I385" s="6">
        <v>149.6</v>
      </c>
      <c r="K385" s="4">
        <f>Tabela1[[#This Row],[Estoque total]]-Tabela1[[#This Row],[Consumo]]</f>
        <v>2</v>
      </c>
      <c r="L385" s="7">
        <f>(Tabela1[[#This Row],[Valor total]]/Tabela1[[#This Row],[Estoque total]])*Tabela1[[#This Row],[Consumo]]</f>
        <v>0</v>
      </c>
    </row>
    <row r="386" spans="1:12" x14ac:dyDescent="0.25">
      <c r="A386" t="s">
        <v>760</v>
      </c>
      <c r="B386" t="s">
        <v>761</v>
      </c>
      <c r="C386" t="s">
        <v>2</v>
      </c>
      <c r="D386" t="s">
        <v>3</v>
      </c>
      <c r="E386" t="s">
        <v>4</v>
      </c>
      <c r="F386" t="s">
        <v>5</v>
      </c>
      <c r="G386" s="2">
        <v>352</v>
      </c>
      <c r="H386" t="s">
        <v>6</v>
      </c>
      <c r="I386" s="6">
        <v>16900.95</v>
      </c>
      <c r="K386" s="4">
        <f>Tabela1[[#This Row],[Estoque total]]-Tabela1[[#This Row],[Consumo]]</f>
        <v>352</v>
      </c>
      <c r="L386" s="7">
        <f>(Tabela1[[#This Row],[Valor total]]/Tabela1[[#This Row],[Estoque total]])*Tabela1[[#This Row],[Consumo]]</f>
        <v>0</v>
      </c>
    </row>
    <row r="387" spans="1:12" x14ac:dyDescent="0.25">
      <c r="A387" t="s">
        <v>762</v>
      </c>
      <c r="B387" t="s">
        <v>763</v>
      </c>
      <c r="C387" t="s">
        <v>2</v>
      </c>
      <c r="D387" t="s">
        <v>3</v>
      </c>
      <c r="E387" t="s">
        <v>4</v>
      </c>
      <c r="F387" t="s">
        <v>19</v>
      </c>
      <c r="G387" s="2">
        <v>1</v>
      </c>
      <c r="H387" t="s">
        <v>6</v>
      </c>
      <c r="I387" s="6">
        <v>19.46</v>
      </c>
      <c r="K387" s="4">
        <f>Tabela1[[#This Row],[Estoque total]]-Tabela1[[#This Row],[Consumo]]</f>
        <v>1</v>
      </c>
      <c r="L387" s="7">
        <f>(Tabela1[[#This Row],[Valor total]]/Tabela1[[#This Row],[Estoque total]])*Tabela1[[#This Row],[Consumo]]</f>
        <v>0</v>
      </c>
    </row>
    <row r="388" spans="1:12" x14ac:dyDescent="0.25">
      <c r="A388" t="s">
        <v>764</v>
      </c>
      <c r="B388" t="s">
        <v>765</v>
      </c>
      <c r="C388" t="s">
        <v>2</v>
      </c>
      <c r="D388" t="s">
        <v>3</v>
      </c>
      <c r="E388" t="s">
        <v>4</v>
      </c>
      <c r="F388" t="s">
        <v>5</v>
      </c>
      <c r="G388" s="2">
        <v>24</v>
      </c>
      <c r="H388" t="s">
        <v>6</v>
      </c>
      <c r="I388" s="6">
        <v>2.16</v>
      </c>
      <c r="K388" s="4">
        <f>Tabela1[[#This Row],[Estoque total]]-Tabela1[[#This Row],[Consumo]]</f>
        <v>24</v>
      </c>
      <c r="L388" s="7">
        <f>(Tabela1[[#This Row],[Valor total]]/Tabela1[[#This Row],[Estoque total]])*Tabela1[[#This Row],[Consumo]]</f>
        <v>0</v>
      </c>
    </row>
    <row r="389" spans="1:12" x14ac:dyDescent="0.25">
      <c r="A389" t="s">
        <v>766</v>
      </c>
      <c r="B389" t="s">
        <v>767</v>
      </c>
      <c r="C389" t="s">
        <v>2</v>
      </c>
      <c r="D389" t="s">
        <v>3</v>
      </c>
      <c r="E389" t="s">
        <v>4</v>
      </c>
      <c r="F389" t="s">
        <v>5</v>
      </c>
      <c r="G389" s="2">
        <v>3</v>
      </c>
      <c r="H389" t="s">
        <v>6</v>
      </c>
      <c r="I389" s="6">
        <v>0.3</v>
      </c>
      <c r="K389" s="4">
        <f>Tabela1[[#This Row],[Estoque total]]-Tabela1[[#This Row],[Consumo]]</f>
        <v>3</v>
      </c>
      <c r="L389" s="7">
        <f>(Tabela1[[#This Row],[Valor total]]/Tabela1[[#This Row],[Estoque total]])*Tabela1[[#This Row],[Consumo]]</f>
        <v>0</v>
      </c>
    </row>
    <row r="390" spans="1:12" x14ac:dyDescent="0.25">
      <c r="A390" t="s">
        <v>768</v>
      </c>
      <c r="B390" t="s">
        <v>769</v>
      </c>
      <c r="C390" t="s">
        <v>2</v>
      </c>
      <c r="D390" t="s">
        <v>3</v>
      </c>
      <c r="E390" t="s">
        <v>4</v>
      </c>
      <c r="F390" t="s">
        <v>5</v>
      </c>
      <c r="G390" s="2">
        <v>130</v>
      </c>
      <c r="H390" t="s">
        <v>6</v>
      </c>
      <c r="I390" s="6">
        <v>46.8</v>
      </c>
      <c r="K390" s="4">
        <f>Tabela1[[#This Row],[Estoque total]]-Tabela1[[#This Row],[Consumo]]</f>
        <v>130</v>
      </c>
      <c r="L390" s="7">
        <f>(Tabela1[[#This Row],[Valor total]]/Tabela1[[#This Row],[Estoque total]])*Tabela1[[#This Row],[Consumo]]</f>
        <v>0</v>
      </c>
    </row>
    <row r="391" spans="1:12" x14ac:dyDescent="0.25">
      <c r="A391" t="s">
        <v>770</v>
      </c>
      <c r="B391" t="s">
        <v>771</v>
      </c>
      <c r="C391" t="s">
        <v>2</v>
      </c>
      <c r="D391" t="s">
        <v>3</v>
      </c>
      <c r="E391" t="s">
        <v>4</v>
      </c>
      <c r="F391" t="s">
        <v>5</v>
      </c>
      <c r="G391" s="2">
        <v>20</v>
      </c>
      <c r="H391" t="s">
        <v>6</v>
      </c>
      <c r="I391" s="6">
        <v>72</v>
      </c>
      <c r="K391" s="4">
        <f>Tabela1[[#This Row],[Estoque total]]-Tabela1[[#This Row],[Consumo]]</f>
        <v>20</v>
      </c>
      <c r="L391" s="7">
        <f>(Tabela1[[#This Row],[Valor total]]/Tabela1[[#This Row],[Estoque total]])*Tabela1[[#This Row],[Consumo]]</f>
        <v>0</v>
      </c>
    </row>
    <row r="392" spans="1:12" x14ac:dyDescent="0.25">
      <c r="A392" t="s">
        <v>772</v>
      </c>
      <c r="B392" t="s">
        <v>773</v>
      </c>
      <c r="C392" t="s">
        <v>2</v>
      </c>
      <c r="D392" t="s">
        <v>3</v>
      </c>
      <c r="E392" t="s">
        <v>4</v>
      </c>
      <c r="F392" t="s">
        <v>5</v>
      </c>
      <c r="G392" s="2">
        <v>228</v>
      </c>
      <c r="H392" t="s">
        <v>6</v>
      </c>
      <c r="I392" s="6">
        <v>1861.3</v>
      </c>
      <c r="K392" s="4">
        <f>Tabela1[[#This Row],[Estoque total]]-Tabela1[[#This Row],[Consumo]]</f>
        <v>228</v>
      </c>
      <c r="L392" s="7">
        <f>(Tabela1[[#This Row],[Valor total]]/Tabela1[[#This Row],[Estoque total]])*Tabela1[[#This Row],[Consumo]]</f>
        <v>0</v>
      </c>
    </row>
    <row r="393" spans="1:12" x14ac:dyDescent="0.25">
      <c r="A393" t="s">
        <v>774</v>
      </c>
      <c r="B393" t="s">
        <v>775</v>
      </c>
      <c r="C393" t="s">
        <v>2</v>
      </c>
      <c r="D393" t="s">
        <v>3</v>
      </c>
      <c r="E393" t="s">
        <v>4</v>
      </c>
      <c r="F393" t="s">
        <v>19</v>
      </c>
      <c r="G393" s="2">
        <v>4</v>
      </c>
      <c r="H393" t="s">
        <v>6</v>
      </c>
      <c r="I393" s="6">
        <v>0</v>
      </c>
      <c r="J393">
        <v>4</v>
      </c>
      <c r="K393" s="4">
        <f>Tabela1[[#This Row],[Estoque total]]-Tabela1[[#This Row],[Consumo]]</f>
        <v>0</v>
      </c>
      <c r="L393" s="7">
        <f>(Tabela1[[#This Row],[Valor total]]/Tabela1[[#This Row],[Estoque total]])*Tabela1[[#This Row],[Consumo]]</f>
        <v>0</v>
      </c>
    </row>
    <row r="394" spans="1:12" x14ac:dyDescent="0.25">
      <c r="A394" t="s">
        <v>776</v>
      </c>
      <c r="B394" t="s">
        <v>777</v>
      </c>
      <c r="C394" t="s">
        <v>2</v>
      </c>
      <c r="D394" t="s">
        <v>3</v>
      </c>
      <c r="E394" t="s">
        <v>4</v>
      </c>
      <c r="F394" t="s">
        <v>19</v>
      </c>
      <c r="G394" s="2">
        <v>3</v>
      </c>
      <c r="H394" t="s">
        <v>6</v>
      </c>
      <c r="I394" s="6">
        <v>8.1</v>
      </c>
      <c r="K394" s="4">
        <f>Tabela1[[#This Row],[Estoque total]]-Tabela1[[#This Row],[Consumo]]</f>
        <v>3</v>
      </c>
      <c r="L394" s="7">
        <f>(Tabela1[[#This Row],[Valor total]]/Tabela1[[#This Row],[Estoque total]])*Tabela1[[#This Row],[Consumo]]</f>
        <v>0</v>
      </c>
    </row>
    <row r="395" spans="1:12" x14ac:dyDescent="0.25">
      <c r="A395" t="s">
        <v>778</v>
      </c>
      <c r="B395" t="s">
        <v>779</v>
      </c>
      <c r="C395" t="s">
        <v>2</v>
      </c>
      <c r="D395" t="s">
        <v>3</v>
      </c>
      <c r="E395" t="s">
        <v>4</v>
      </c>
      <c r="F395" t="s">
        <v>5</v>
      </c>
      <c r="G395" s="2">
        <v>34</v>
      </c>
      <c r="H395" t="s">
        <v>6</v>
      </c>
      <c r="I395" s="6">
        <v>8496.6</v>
      </c>
      <c r="K395" s="4">
        <f>Tabela1[[#This Row],[Estoque total]]-Tabela1[[#This Row],[Consumo]]</f>
        <v>34</v>
      </c>
      <c r="L395" s="7">
        <f>(Tabela1[[#This Row],[Valor total]]/Tabela1[[#This Row],[Estoque total]])*Tabela1[[#This Row],[Consumo]]</f>
        <v>0</v>
      </c>
    </row>
    <row r="396" spans="1:12" x14ac:dyDescent="0.25">
      <c r="A396" t="s">
        <v>780</v>
      </c>
      <c r="B396" t="s">
        <v>781</v>
      </c>
      <c r="C396" t="s">
        <v>2</v>
      </c>
      <c r="D396" t="s">
        <v>3</v>
      </c>
      <c r="E396" t="s">
        <v>4</v>
      </c>
      <c r="F396" t="s">
        <v>5</v>
      </c>
      <c r="G396" s="2">
        <v>2</v>
      </c>
      <c r="H396" t="s">
        <v>6</v>
      </c>
      <c r="I396" s="6">
        <v>950.86</v>
      </c>
      <c r="K396" s="4">
        <f>Tabela1[[#This Row],[Estoque total]]-Tabela1[[#This Row],[Consumo]]</f>
        <v>2</v>
      </c>
      <c r="L396" s="7">
        <f>(Tabela1[[#This Row],[Valor total]]/Tabela1[[#This Row],[Estoque total]])*Tabela1[[#This Row],[Consumo]]</f>
        <v>0</v>
      </c>
    </row>
    <row r="397" spans="1:12" x14ac:dyDescent="0.25">
      <c r="A397" t="s">
        <v>782</v>
      </c>
      <c r="B397" t="s">
        <v>783</v>
      </c>
      <c r="C397" t="s">
        <v>2</v>
      </c>
      <c r="D397" t="s">
        <v>3</v>
      </c>
      <c r="E397" t="s">
        <v>4</v>
      </c>
      <c r="F397" t="s">
        <v>5</v>
      </c>
      <c r="G397" s="2">
        <v>46</v>
      </c>
      <c r="H397" t="s">
        <v>6</v>
      </c>
      <c r="I397" s="6">
        <v>22466.54</v>
      </c>
      <c r="J397">
        <v>8</v>
      </c>
      <c r="K397" s="4">
        <f>Tabela1[[#This Row],[Estoque total]]-Tabela1[[#This Row],[Consumo]]</f>
        <v>38</v>
      </c>
      <c r="L397" s="7">
        <f>(Tabela1[[#This Row],[Valor total]]/Tabela1[[#This Row],[Estoque total]])*Tabela1[[#This Row],[Consumo]]</f>
        <v>3907.2243478260871</v>
      </c>
    </row>
    <row r="398" spans="1:12" x14ac:dyDescent="0.25">
      <c r="A398" t="s">
        <v>784</v>
      </c>
      <c r="B398" t="s">
        <v>785</v>
      </c>
      <c r="C398" t="s">
        <v>2</v>
      </c>
      <c r="D398" t="s">
        <v>3</v>
      </c>
      <c r="E398" t="s">
        <v>4</v>
      </c>
      <c r="F398" t="s">
        <v>5</v>
      </c>
      <c r="G398" s="2">
        <v>6</v>
      </c>
      <c r="H398" t="s">
        <v>6</v>
      </c>
      <c r="I398" s="6">
        <v>3080.63</v>
      </c>
      <c r="K398" s="4">
        <f>Tabela1[[#This Row],[Estoque total]]-Tabela1[[#This Row],[Consumo]]</f>
        <v>6</v>
      </c>
      <c r="L398" s="7">
        <f>(Tabela1[[#This Row],[Valor total]]/Tabela1[[#This Row],[Estoque total]])*Tabela1[[#This Row],[Consumo]]</f>
        <v>0</v>
      </c>
    </row>
    <row r="399" spans="1:12" x14ac:dyDescent="0.25">
      <c r="A399" t="s">
        <v>786</v>
      </c>
      <c r="B399" t="s">
        <v>787</v>
      </c>
      <c r="C399" t="s">
        <v>2</v>
      </c>
      <c r="D399" t="s">
        <v>3</v>
      </c>
      <c r="E399" t="s">
        <v>4</v>
      </c>
      <c r="F399" t="s">
        <v>5</v>
      </c>
      <c r="G399" s="2">
        <v>1</v>
      </c>
      <c r="H399" t="s">
        <v>6</v>
      </c>
      <c r="I399" s="6">
        <v>614.19000000000005</v>
      </c>
      <c r="K399" s="4">
        <f>Tabela1[[#This Row],[Estoque total]]-Tabela1[[#This Row],[Consumo]]</f>
        <v>1</v>
      </c>
      <c r="L399" s="7">
        <f>(Tabela1[[#This Row],[Valor total]]/Tabela1[[#This Row],[Estoque total]])*Tabela1[[#This Row],[Consumo]]</f>
        <v>0</v>
      </c>
    </row>
    <row r="400" spans="1:12" x14ac:dyDescent="0.25">
      <c r="A400" t="s">
        <v>788</v>
      </c>
      <c r="B400" t="s">
        <v>789</v>
      </c>
      <c r="C400" t="s">
        <v>2</v>
      </c>
      <c r="D400" t="s">
        <v>3</v>
      </c>
      <c r="E400" t="s">
        <v>4</v>
      </c>
      <c r="F400" t="s">
        <v>5</v>
      </c>
      <c r="G400" s="2">
        <v>11</v>
      </c>
      <c r="H400" t="s">
        <v>6</v>
      </c>
      <c r="I400" s="6">
        <v>6891.22</v>
      </c>
      <c r="K400" s="4">
        <f>Tabela1[[#This Row],[Estoque total]]-Tabela1[[#This Row],[Consumo]]</f>
        <v>11</v>
      </c>
      <c r="L400" s="7">
        <f>(Tabela1[[#This Row],[Valor total]]/Tabela1[[#This Row],[Estoque total]])*Tabela1[[#This Row],[Consumo]]</f>
        <v>0</v>
      </c>
    </row>
    <row r="401" spans="1:12" x14ac:dyDescent="0.25">
      <c r="A401" t="s">
        <v>790</v>
      </c>
      <c r="B401" t="s">
        <v>791</v>
      </c>
      <c r="C401" t="s">
        <v>2</v>
      </c>
      <c r="D401" t="s">
        <v>3</v>
      </c>
      <c r="E401" t="s">
        <v>4</v>
      </c>
      <c r="F401" t="s">
        <v>5</v>
      </c>
      <c r="G401" s="2">
        <v>2</v>
      </c>
      <c r="H401" t="s">
        <v>6</v>
      </c>
      <c r="I401" s="6">
        <v>1366.61</v>
      </c>
      <c r="K401" s="4">
        <f>Tabela1[[#This Row],[Estoque total]]-Tabela1[[#This Row],[Consumo]]</f>
        <v>2</v>
      </c>
      <c r="L401" s="7">
        <f>(Tabela1[[#This Row],[Valor total]]/Tabela1[[#This Row],[Estoque total]])*Tabela1[[#This Row],[Consumo]]</f>
        <v>0</v>
      </c>
    </row>
    <row r="402" spans="1:12" x14ac:dyDescent="0.25">
      <c r="A402" t="s">
        <v>792</v>
      </c>
      <c r="B402" t="s">
        <v>793</v>
      </c>
      <c r="C402" t="s">
        <v>2</v>
      </c>
      <c r="D402" t="s">
        <v>3</v>
      </c>
      <c r="E402" t="s">
        <v>4</v>
      </c>
      <c r="F402" t="s">
        <v>5</v>
      </c>
      <c r="G402" s="2">
        <v>1</v>
      </c>
      <c r="H402" t="s">
        <v>6</v>
      </c>
      <c r="I402" s="6">
        <v>726.92</v>
      </c>
      <c r="K402" s="4">
        <f>Tabela1[[#This Row],[Estoque total]]-Tabela1[[#This Row],[Consumo]]</f>
        <v>1</v>
      </c>
      <c r="L402" s="7">
        <f>(Tabela1[[#This Row],[Valor total]]/Tabela1[[#This Row],[Estoque total]])*Tabela1[[#This Row],[Consumo]]</f>
        <v>0</v>
      </c>
    </row>
    <row r="403" spans="1:12" x14ac:dyDescent="0.25">
      <c r="A403" t="s">
        <v>794</v>
      </c>
      <c r="B403" t="s">
        <v>795</v>
      </c>
      <c r="C403" t="s">
        <v>2</v>
      </c>
      <c r="D403" t="s">
        <v>3</v>
      </c>
      <c r="E403" t="s">
        <v>4</v>
      </c>
      <c r="F403" t="s">
        <v>5</v>
      </c>
      <c r="G403" s="2">
        <v>1</v>
      </c>
      <c r="H403" t="s">
        <v>6</v>
      </c>
      <c r="I403" s="6">
        <v>563.28</v>
      </c>
      <c r="K403" s="4">
        <f>Tabela1[[#This Row],[Estoque total]]-Tabela1[[#This Row],[Consumo]]</f>
        <v>1</v>
      </c>
      <c r="L403" s="7">
        <f>(Tabela1[[#This Row],[Valor total]]/Tabela1[[#This Row],[Estoque total]])*Tabela1[[#This Row],[Consumo]]</f>
        <v>0</v>
      </c>
    </row>
    <row r="404" spans="1:12" x14ac:dyDescent="0.25">
      <c r="A404" t="s">
        <v>796</v>
      </c>
      <c r="B404" t="s">
        <v>797</v>
      </c>
      <c r="C404" t="s">
        <v>2</v>
      </c>
      <c r="D404" t="s">
        <v>3</v>
      </c>
      <c r="E404" t="s">
        <v>4</v>
      </c>
      <c r="F404" t="s">
        <v>5</v>
      </c>
      <c r="G404" s="2">
        <v>24</v>
      </c>
      <c r="H404" t="s">
        <v>6</v>
      </c>
      <c r="I404" s="6">
        <v>13856.33</v>
      </c>
      <c r="J404">
        <v>2</v>
      </c>
      <c r="K404" s="4">
        <f>Tabela1[[#This Row],[Estoque total]]-Tabela1[[#This Row],[Consumo]]</f>
        <v>22</v>
      </c>
      <c r="L404" s="7">
        <f>(Tabela1[[#This Row],[Valor total]]/Tabela1[[#This Row],[Estoque total]])*Tabela1[[#This Row],[Consumo]]</f>
        <v>1154.6941666666667</v>
      </c>
    </row>
    <row r="405" spans="1:12" x14ac:dyDescent="0.25">
      <c r="A405" t="s">
        <v>798</v>
      </c>
      <c r="B405" t="s">
        <v>799</v>
      </c>
      <c r="C405" t="s">
        <v>2</v>
      </c>
      <c r="D405" t="s">
        <v>3</v>
      </c>
      <c r="E405" t="s">
        <v>4</v>
      </c>
      <c r="F405" t="s">
        <v>5</v>
      </c>
      <c r="G405" s="2">
        <v>1</v>
      </c>
      <c r="H405" t="s">
        <v>6</v>
      </c>
      <c r="I405" s="6">
        <v>607.48</v>
      </c>
      <c r="K405" s="4">
        <f>Tabela1[[#This Row],[Estoque total]]-Tabela1[[#This Row],[Consumo]]</f>
        <v>1</v>
      </c>
      <c r="L405" s="7">
        <f>(Tabela1[[#This Row],[Valor total]]/Tabela1[[#This Row],[Estoque total]])*Tabela1[[#This Row],[Consumo]]</f>
        <v>0</v>
      </c>
    </row>
    <row r="406" spans="1:12" x14ac:dyDescent="0.25">
      <c r="A406" t="s">
        <v>800</v>
      </c>
      <c r="B406" t="s">
        <v>801</v>
      </c>
      <c r="C406" t="s">
        <v>2</v>
      </c>
      <c r="D406" t="s">
        <v>3</v>
      </c>
      <c r="E406" t="s">
        <v>4</v>
      </c>
      <c r="F406" t="s">
        <v>5</v>
      </c>
      <c r="G406" s="2">
        <v>6</v>
      </c>
      <c r="H406" t="s">
        <v>6</v>
      </c>
      <c r="I406" s="6">
        <v>5406.26</v>
      </c>
      <c r="K406" s="4">
        <f>Tabela1[[#This Row],[Estoque total]]-Tabela1[[#This Row],[Consumo]]</f>
        <v>6</v>
      </c>
      <c r="L406" s="7">
        <f>(Tabela1[[#This Row],[Valor total]]/Tabela1[[#This Row],[Estoque total]])*Tabela1[[#This Row],[Consumo]]</f>
        <v>0</v>
      </c>
    </row>
    <row r="407" spans="1:12" x14ac:dyDescent="0.25">
      <c r="A407" t="s">
        <v>802</v>
      </c>
      <c r="B407" t="s">
        <v>803</v>
      </c>
      <c r="C407" t="s">
        <v>2</v>
      </c>
      <c r="D407" t="s">
        <v>3</v>
      </c>
      <c r="E407" t="s">
        <v>4</v>
      </c>
      <c r="F407" t="s">
        <v>5</v>
      </c>
      <c r="G407" s="2">
        <v>13</v>
      </c>
      <c r="H407" t="s">
        <v>6</v>
      </c>
      <c r="I407" s="6">
        <v>12584.19</v>
      </c>
      <c r="K407" s="4">
        <f>Tabela1[[#This Row],[Estoque total]]-Tabela1[[#This Row],[Consumo]]</f>
        <v>13</v>
      </c>
      <c r="L407" s="7">
        <f>(Tabela1[[#This Row],[Valor total]]/Tabela1[[#This Row],[Estoque total]])*Tabela1[[#This Row],[Consumo]]</f>
        <v>0</v>
      </c>
    </row>
    <row r="408" spans="1:12" x14ac:dyDescent="0.25">
      <c r="A408" t="s">
        <v>804</v>
      </c>
      <c r="B408" t="s">
        <v>805</v>
      </c>
      <c r="C408" t="s">
        <v>2</v>
      </c>
      <c r="D408" t="s">
        <v>3</v>
      </c>
      <c r="E408" t="s">
        <v>4</v>
      </c>
      <c r="F408" t="s">
        <v>5</v>
      </c>
      <c r="G408" s="2">
        <v>8</v>
      </c>
      <c r="H408" t="s">
        <v>6</v>
      </c>
      <c r="I408" s="6">
        <v>8259.39</v>
      </c>
      <c r="K408" s="4">
        <f>Tabela1[[#This Row],[Estoque total]]-Tabela1[[#This Row],[Consumo]]</f>
        <v>8</v>
      </c>
      <c r="L408" s="7">
        <f>(Tabela1[[#This Row],[Valor total]]/Tabela1[[#This Row],[Estoque total]])*Tabela1[[#This Row],[Consumo]]</f>
        <v>0</v>
      </c>
    </row>
    <row r="409" spans="1:12" x14ac:dyDescent="0.25">
      <c r="A409" t="s">
        <v>806</v>
      </c>
      <c r="B409" t="s">
        <v>807</v>
      </c>
      <c r="C409" t="s">
        <v>2</v>
      </c>
      <c r="D409" t="s">
        <v>3</v>
      </c>
      <c r="E409" t="s">
        <v>4</v>
      </c>
      <c r="F409" t="s">
        <v>5</v>
      </c>
      <c r="G409" s="2">
        <v>10</v>
      </c>
      <c r="H409" t="s">
        <v>6</v>
      </c>
      <c r="I409" s="6">
        <v>9566.41</v>
      </c>
      <c r="K409" s="4">
        <f>Tabela1[[#This Row],[Estoque total]]-Tabela1[[#This Row],[Consumo]]</f>
        <v>10</v>
      </c>
      <c r="L409" s="7">
        <f>(Tabela1[[#This Row],[Valor total]]/Tabela1[[#This Row],[Estoque total]])*Tabela1[[#This Row],[Consumo]]</f>
        <v>0</v>
      </c>
    </row>
    <row r="410" spans="1:12" x14ac:dyDescent="0.25">
      <c r="A410" t="s">
        <v>808</v>
      </c>
      <c r="B410" t="s">
        <v>809</v>
      </c>
      <c r="C410" t="s">
        <v>2</v>
      </c>
      <c r="D410" t="s">
        <v>3</v>
      </c>
      <c r="E410" t="s">
        <v>4</v>
      </c>
      <c r="F410" t="s">
        <v>5</v>
      </c>
      <c r="G410" s="2">
        <v>4</v>
      </c>
      <c r="H410" t="s">
        <v>6</v>
      </c>
      <c r="I410" s="6">
        <v>1406.94</v>
      </c>
      <c r="K410" s="4">
        <f>Tabela1[[#This Row],[Estoque total]]-Tabela1[[#This Row],[Consumo]]</f>
        <v>4</v>
      </c>
      <c r="L410" s="7">
        <f>(Tabela1[[#This Row],[Valor total]]/Tabela1[[#This Row],[Estoque total]])*Tabela1[[#This Row],[Consumo]]</f>
        <v>0</v>
      </c>
    </row>
    <row r="411" spans="1:12" x14ac:dyDescent="0.25">
      <c r="A411" t="s">
        <v>810</v>
      </c>
      <c r="B411" t="s">
        <v>811</v>
      </c>
      <c r="C411" t="s">
        <v>2</v>
      </c>
      <c r="D411" t="s">
        <v>3</v>
      </c>
      <c r="E411" t="s">
        <v>4</v>
      </c>
      <c r="F411" t="s">
        <v>5</v>
      </c>
      <c r="G411" s="2">
        <v>3</v>
      </c>
      <c r="H411" t="s">
        <v>6</v>
      </c>
      <c r="I411" s="6">
        <v>3435.29</v>
      </c>
      <c r="K411" s="4">
        <f>Tabela1[[#This Row],[Estoque total]]-Tabela1[[#This Row],[Consumo]]</f>
        <v>3</v>
      </c>
      <c r="L411" s="7">
        <f>(Tabela1[[#This Row],[Valor total]]/Tabela1[[#This Row],[Estoque total]])*Tabela1[[#This Row],[Consumo]]</f>
        <v>0</v>
      </c>
    </row>
    <row r="412" spans="1:12" x14ac:dyDescent="0.25">
      <c r="A412" t="s">
        <v>812</v>
      </c>
      <c r="B412" t="s">
        <v>813</v>
      </c>
      <c r="C412" t="s">
        <v>2</v>
      </c>
      <c r="D412" t="s">
        <v>3</v>
      </c>
      <c r="E412" t="s">
        <v>4</v>
      </c>
      <c r="F412" t="s">
        <v>5</v>
      </c>
      <c r="G412" s="2">
        <v>1</v>
      </c>
      <c r="H412" t="s">
        <v>6</v>
      </c>
      <c r="I412" s="6">
        <v>1265.69</v>
      </c>
      <c r="K412" s="4">
        <f>Tabela1[[#This Row],[Estoque total]]-Tabela1[[#This Row],[Consumo]]</f>
        <v>1</v>
      </c>
      <c r="L412" s="7">
        <f>(Tabela1[[#This Row],[Valor total]]/Tabela1[[#This Row],[Estoque total]])*Tabela1[[#This Row],[Consumo]]</f>
        <v>0</v>
      </c>
    </row>
    <row r="413" spans="1:12" x14ac:dyDescent="0.25">
      <c r="A413" t="s">
        <v>814</v>
      </c>
      <c r="B413" t="s">
        <v>815</v>
      </c>
      <c r="C413" t="s">
        <v>2</v>
      </c>
      <c r="D413" t="s">
        <v>3</v>
      </c>
      <c r="E413" t="s">
        <v>4</v>
      </c>
      <c r="F413" t="s">
        <v>5</v>
      </c>
      <c r="G413" s="2">
        <v>4</v>
      </c>
      <c r="H413" t="s">
        <v>6</v>
      </c>
      <c r="I413" s="6">
        <v>4367.05</v>
      </c>
      <c r="K413" s="4">
        <f>Tabela1[[#This Row],[Estoque total]]-Tabela1[[#This Row],[Consumo]]</f>
        <v>4</v>
      </c>
      <c r="L413" s="7">
        <f>(Tabela1[[#This Row],[Valor total]]/Tabela1[[#This Row],[Estoque total]])*Tabela1[[#This Row],[Consumo]]</f>
        <v>0</v>
      </c>
    </row>
    <row r="414" spans="1:12" x14ac:dyDescent="0.25">
      <c r="A414" t="s">
        <v>816</v>
      </c>
      <c r="B414" t="s">
        <v>817</v>
      </c>
      <c r="C414" t="s">
        <v>2</v>
      </c>
      <c r="D414" t="s">
        <v>3</v>
      </c>
      <c r="E414" t="s">
        <v>4</v>
      </c>
      <c r="F414" t="s">
        <v>5</v>
      </c>
      <c r="G414" s="2">
        <v>1</v>
      </c>
      <c r="H414" t="s">
        <v>6</v>
      </c>
      <c r="I414" s="6">
        <v>1436.84</v>
      </c>
      <c r="K414" s="4">
        <f>Tabela1[[#This Row],[Estoque total]]-Tabela1[[#This Row],[Consumo]]</f>
        <v>1</v>
      </c>
      <c r="L414" s="7">
        <f>(Tabela1[[#This Row],[Valor total]]/Tabela1[[#This Row],[Estoque total]])*Tabela1[[#This Row],[Consumo]]</f>
        <v>0</v>
      </c>
    </row>
    <row r="415" spans="1:12" x14ac:dyDescent="0.25">
      <c r="A415" t="s">
        <v>818</v>
      </c>
      <c r="B415" t="s">
        <v>819</v>
      </c>
      <c r="C415" t="s">
        <v>2</v>
      </c>
      <c r="D415" t="s">
        <v>3</v>
      </c>
      <c r="E415" t="s">
        <v>4</v>
      </c>
      <c r="F415" t="s">
        <v>5</v>
      </c>
      <c r="G415" s="2">
        <v>1</v>
      </c>
      <c r="H415" t="s">
        <v>6</v>
      </c>
      <c r="I415" s="6">
        <v>1372.31</v>
      </c>
      <c r="K415" s="4">
        <f>Tabela1[[#This Row],[Estoque total]]-Tabela1[[#This Row],[Consumo]]</f>
        <v>1</v>
      </c>
      <c r="L415" s="7">
        <f>(Tabela1[[#This Row],[Valor total]]/Tabela1[[#This Row],[Estoque total]])*Tabela1[[#This Row],[Consumo]]</f>
        <v>0</v>
      </c>
    </row>
    <row r="416" spans="1:12" x14ac:dyDescent="0.25">
      <c r="A416" t="s">
        <v>820</v>
      </c>
      <c r="B416" t="s">
        <v>821</v>
      </c>
      <c r="C416" t="s">
        <v>2</v>
      </c>
      <c r="D416" t="s">
        <v>3</v>
      </c>
      <c r="E416" t="s">
        <v>4</v>
      </c>
      <c r="F416" t="s">
        <v>19</v>
      </c>
      <c r="G416" s="2">
        <v>76</v>
      </c>
      <c r="H416" t="s">
        <v>6</v>
      </c>
      <c r="I416" s="6">
        <v>70.52</v>
      </c>
      <c r="J416">
        <v>6</v>
      </c>
      <c r="K416" s="4">
        <f>Tabela1[[#This Row],[Estoque total]]-Tabela1[[#This Row],[Consumo]]</f>
        <v>70</v>
      </c>
      <c r="L416" s="7">
        <f>(Tabela1[[#This Row],[Valor total]]/Tabela1[[#This Row],[Estoque total]])*Tabela1[[#This Row],[Consumo]]</f>
        <v>5.5673684210526311</v>
      </c>
    </row>
    <row r="417" spans="1:12" x14ac:dyDescent="0.25">
      <c r="A417" t="s">
        <v>822</v>
      </c>
      <c r="B417" t="s">
        <v>823</v>
      </c>
      <c r="C417" t="s">
        <v>2</v>
      </c>
      <c r="D417" t="s">
        <v>3</v>
      </c>
      <c r="E417" t="s">
        <v>4</v>
      </c>
      <c r="F417" t="s">
        <v>19</v>
      </c>
      <c r="G417" s="2">
        <v>2</v>
      </c>
      <c r="H417" t="s">
        <v>6</v>
      </c>
      <c r="I417" s="6">
        <v>0</v>
      </c>
      <c r="J417">
        <v>2</v>
      </c>
      <c r="K417" s="4">
        <f>Tabela1[[#This Row],[Estoque total]]-Tabela1[[#This Row],[Consumo]]</f>
        <v>0</v>
      </c>
      <c r="L417" s="7">
        <f>(Tabela1[[#This Row],[Valor total]]/Tabela1[[#This Row],[Estoque total]])*Tabela1[[#This Row],[Consumo]]</f>
        <v>0</v>
      </c>
    </row>
    <row r="418" spans="1:12" x14ac:dyDescent="0.25">
      <c r="A418" t="s">
        <v>824</v>
      </c>
      <c r="B418" t="s">
        <v>825</v>
      </c>
      <c r="C418" t="s">
        <v>2</v>
      </c>
      <c r="D418" t="s">
        <v>3</v>
      </c>
      <c r="E418" t="s">
        <v>4</v>
      </c>
      <c r="F418" t="s">
        <v>19</v>
      </c>
      <c r="G418" s="2">
        <v>1</v>
      </c>
      <c r="H418" t="s">
        <v>6</v>
      </c>
      <c r="I418" s="6">
        <v>8.0500000000000007</v>
      </c>
      <c r="J418">
        <v>1</v>
      </c>
      <c r="K418" s="4">
        <f>Tabela1[[#This Row],[Estoque total]]-Tabela1[[#This Row],[Consumo]]</f>
        <v>0</v>
      </c>
      <c r="L418" s="7">
        <f>(Tabela1[[#This Row],[Valor total]]/Tabela1[[#This Row],[Estoque total]])*Tabela1[[#This Row],[Consumo]]</f>
        <v>8.0500000000000007</v>
      </c>
    </row>
    <row r="419" spans="1:12" x14ac:dyDescent="0.25">
      <c r="A419" t="s">
        <v>826</v>
      </c>
      <c r="B419" t="s">
        <v>827</v>
      </c>
      <c r="C419" t="s">
        <v>2</v>
      </c>
      <c r="D419" t="s">
        <v>3</v>
      </c>
      <c r="E419" t="s">
        <v>4</v>
      </c>
      <c r="F419" t="s">
        <v>19</v>
      </c>
      <c r="G419" s="2">
        <v>3</v>
      </c>
      <c r="H419" t="s">
        <v>6</v>
      </c>
      <c r="I419" s="6">
        <v>12.06</v>
      </c>
      <c r="J419">
        <v>3</v>
      </c>
      <c r="K419" s="4">
        <f>Tabela1[[#This Row],[Estoque total]]-Tabela1[[#This Row],[Consumo]]</f>
        <v>0</v>
      </c>
      <c r="L419" s="7">
        <f>(Tabela1[[#This Row],[Valor total]]/Tabela1[[#This Row],[Estoque total]])*Tabela1[[#This Row],[Consumo]]</f>
        <v>12.060000000000002</v>
      </c>
    </row>
    <row r="420" spans="1:12" x14ac:dyDescent="0.25">
      <c r="A420" t="s">
        <v>828</v>
      </c>
      <c r="B420" t="s">
        <v>829</v>
      </c>
      <c r="C420" t="s">
        <v>2</v>
      </c>
      <c r="D420" t="s">
        <v>3</v>
      </c>
      <c r="E420" t="s">
        <v>4</v>
      </c>
      <c r="F420" t="s">
        <v>5</v>
      </c>
      <c r="G420" s="2">
        <v>200</v>
      </c>
      <c r="H420" t="s">
        <v>6</v>
      </c>
      <c r="I420" s="6">
        <v>320</v>
      </c>
      <c r="K420" s="4">
        <f>Tabela1[[#This Row],[Estoque total]]-Tabela1[[#This Row],[Consumo]]</f>
        <v>200</v>
      </c>
      <c r="L420" s="7">
        <f>(Tabela1[[#This Row],[Valor total]]/Tabela1[[#This Row],[Estoque total]])*Tabela1[[#This Row],[Consumo]]</f>
        <v>0</v>
      </c>
    </row>
    <row r="421" spans="1:12" x14ac:dyDescent="0.25">
      <c r="A421" t="s">
        <v>830</v>
      </c>
      <c r="B421" t="s">
        <v>831</v>
      </c>
      <c r="C421" t="s">
        <v>2</v>
      </c>
      <c r="D421" t="s">
        <v>3</v>
      </c>
      <c r="E421" t="s">
        <v>4</v>
      </c>
      <c r="F421" t="s">
        <v>5</v>
      </c>
      <c r="G421" s="2">
        <v>500</v>
      </c>
      <c r="H421" t="s">
        <v>6</v>
      </c>
      <c r="I421" s="6">
        <v>800</v>
      </c>
      <c r="K421" s="4">
        <f>Tabela1[[#This Row],[Estoque total]]-Tabela1[[#This Row],[Consumo]]</f>
        <v>500</v>
      </c>
      <c r="L421" s="7">
        <f>(Tabela1[[#This Row],[Valor total]]/Tabela1[[#This Row],[Estoque total]])*Tabela1[[#This Row],[Consumo]]</f>
        <v>0</v>
      </c>
    </row>
    <row r="422" spans="1:12" x14ac:dyDescent="0.25">
      <c r="A422" t="s">
        <v>832</v>
      </c>
      <c r="B422" t="s">
        <v>833</v>
      </c>
      <c r="C422" t="s">
        <v>2</v>
      </c>
      <c r="D422" t="s">
        <v>3</v>
      </c>
      <c r="E422" t="s">
        <v>4</v>
      </c>
      <c r="F422" t="s">
        <v>5</v>
      </c>
      <c r="G422" s="2">
        <v>200</v>
      </c>
      <c r="H422" t="s">
        <v>6</v>
      </c>
      <c r="I422" s="6">
        <v>320</v>
      </c>
      <c r="K422" s="4">
        <f>Tabela1[[#This Row],[Estoque total]]-Tabela1[[#This Row],[Consumo]]</f>
        <v>200</v>
      </c>
      <c r="L422" s="7">
        <f>(Tabela1[[#This Row],[Valor total]]/Tabela1[[#This Row],[Estoque total]])*Tabela1[[#This Row],[Consumo]]</f>
        <v>0</v>
      </c>
    </row>
    <row r="423" spans="1:12" x14ac:dyDescent="0.25">
      <c r="A423" t="s">
        <v>834</v>
      </c>
      <c r="B423" t="s">
        <v>835</v>
      </c>
      <c r="C423" t="s">
        <v>2</v>
      </c>
      <c r="D423" t="s">
        <v>3</v>
      </c>
      <c r="E423" t="s">
        <v>4</v>
      </c>
      <c r="F423" t="s">
        <v>19</v>
      </c>
      <c r="G423" s="3">
        <v>1</v>
      </c>
      <c r="H423" t="s">
        <v>836</v>
      </c>
      <c r="I423" s="6">
        <v>26.42</v>
      </c>
      <c r="J423">
        <v>1</v>
      </c>
      <c r="K423" s="4">
        <f>Tabela1[[#This Row],[Estoque total]]-Tabela1[[#This Row],[Consumo]]</f>
        <v>0</v>
      </c>
      <c r="L423" s="7">
        <f>(Tabela1[[#This Row],[Valor total]]/Tabela1[[#This Row],[Estoque total]])*Tabela1[[#This Row],[Consumo]]</f>
        <v>26.42</v>
      </c>
    </row>
    <row r="424" spans="1:12" x14ac:dyDescent="0.25">
      <c r="A424" t="s">
        <v>837</v>
      </c>
      <c r="B424" t="s">
        <v>838</v>
      </c>
      <c r="C424" t="s">
        <v>2</v>
      </c>
      <c r="D424" t="s">
        <v>3</v>
      </c>
      <c r="E424" t="s">
        <v>4</v>
      </c>
      <c r="F424" t="s">
        <v>5</v>
      </c>
      <c r="G424" s="2">
        <v>21</v>
      </c>
      <c r="H424" t="s">
        <v>6</v>
      </c>
      <c r="I424" s="6">
        <v>50610</v>
      </c>
      <c r="K424" s="4">
        <f>Tabela1[[#This Row],[Estoque total]]-Tabela1[[#This Row],[Consumo]]</f>
        <v>21</v>
      </c>
      <c r="L424" s="7">
        <f>(Tabela1[[#This Row],[Valor total]]/Tabela1[[#This Row],[Estoque total]])*Tabela1[[#This Row],[Consumo]]</f>
        <v>0</v>
      </c>
    </row>
    <row r="425" spans="1:12" x14ac:dyDescent="0.25">
      <c r="A425" t="s">
        <v>839</v>
      </c>
      <c r="B425" t="s">
        <v>840</v>
      </c>
      <c r="C425" t="s">
        <v>2</v>
      </c>
      <c r="D425" t="s">
        <v>3</v>
      </c>
      <c r="E425" t="s">
        <v>4</v>
      </c>
      <c r="F425" t="s">
        <v>5</v>
      </c>
      <c r="G425" s="2">
        <v>48</v>
      </c>
      <c r="H425" t="s">
        <v>532</v>
      </c>
      <c r="I425" s="6">
        <v>271.2</v>
      </c>
      <c r="K425" s="4">
        <f>Tabela1[[#This Row],[Estoque total]]-Tabela1[[#This Row],[Consumo]]</f>
        <v>48</v>
      </c>
      <c r="L425" s="7">
        <f>(Tabela1[[#This Row],[Valor total]]/Tabela1[[#This Row],[Estoque total]])*Tabela1[[#This Row],[Consumo]]</f>
        <v>0</v>
      </c>
    </row>
    <row r="426" spans="1:12" x14ac:dyDescent="0.25">
      <c r="A426" t="s">
        <v>841</v>
      </c>
      <c r="B426" t="s">
        <v>842</v>
      </c>
      <c r="C426" t="s">
        <v>2</v>
      </c>
      <c r="D426" t="s">
        <v>3</v>
      </c>
      <c r="E426" t="s">
        <v>4</v>
      </c>
      <c r="F426" t="s">
        <v>5</v>
      </c>
      <c r="G426" s="2">
        <v>180</v>
      </c>
      <c r="H426" t="s">
        <v>532</v>
      </c>
      <c r="I426" s="6">
        <v>2611.8000000000002</v>
      </c>
      <c r="K426" s="4">
        <f>Tabela1[[#This Row],[Estoque total]]-Tabela1[[#This Row],[Consumo]]</f>
        <v>180</v>
      </c>
      <c r="L426" s="7">
        <f>(Tabela1[[#This Row],[Valor total]]/Tabela1[[#This Row],[Estoque total]])*Tabela1[[#This Row],[Consumo]]</f>
        <v>0</v>
      </c>
    </row>
    <row r="427" spans="1:12" x14ac:dyDescent="0.25">
      <c r="A427" t="s">
        <v>843</v>
      </c>
      <c r="B427" t="s">
        <v>844</v>
      </c>
      <c r="C427" t="s">
        <v>2</v>
      </c>
      <c r="D427" t="s">
        <v>3</v>
      </c>
      <c r="E427" t="s">
        <v>4</v>
      </c>
      <c r="F427" t="s">
        <v>5</v>
      </c>
      <c r="G427" s="2">
        <v>48</v>
      </c>
      <c r="H427" t="s">
        <v>532</v>
      </c>
      <c r="I427" s="6">
        <v>1425.12</v>
      </c>
      <c r="K427" s="4">
        <f>Tabela1[[#This Row],[Estoque total]]-Tabela1[[#This Row],[Consumo]]</f>
        <v>48</v>
      </c>
      <c r="L427" s="7">
        <f>(Tabela1[[#This Row],[Valor total]]/Tabela1[[#This Row],[Estoque total]])*Tabela1[[#This Row],[Consumo]]</f>
        <v>0</v>
      </c>
    </row>
    <row r="428" spans="1:12" x14ac:dyDescent="0.25">
      <c r="A428" t="s">
        <v>845</v>
      </c>
      <c r="B428" t="s">
        <v>846</v>
      </c>
      <c r="C428" t="s">
        <v>2</v>
      </c>
      <c r="D428" t="s">
        <v>3</v>
      </c>
      <c r="E428" t="s">
        <v>4</v>
      </c>
      <c r="F428" t="s">
        <v>19</v>
      </c>
      <c r="G428" s="2">
        <v>1</v>
      </c>
      <c r="H428" t="s">
        <v>6</v>
      </c>
      <c r="I428" s="6">
        <v>75.89</v>
      </c>
      <c r="K428" s="4">
        <f>Tabela1[[#This Row],[Estoque total]]-Tabela1[[#This Row],[Consumo]]</f>
        <v>1</v>
      </c>
      <c r="L428" s="7">
        <f>(Tabela1[[#This Row],[Valor total]]/Tabela1[[#This Row],[Estoque total]])*Tabela1[[#This Row],[Consumo]]</f>
        <v>0</v>
      </c>
    </row>
    <row r="429" spans="1:12" x14ac:dyDescent="0.25">
      <c r="A429" t="s">
        <v>847</v>
      </c>
      <c r="B429" t="s">
        <v>848</v>
      </c>
      <c r="C429" t="s">
        <v>2</v>
      </c>
      <c r="D429" t="s">
        <v>3</v>
      </c>
      <c r="E429" t="s">
        <v>4</v>
      </c>
      <c r="F429" t="s">
        <v>19</v>
      </c>
      <c r="G429" s="2">
        <v>84</v>
      </c>
      <c r="H429" t="s">
        <v>6</v>
      </c>
      <c r="I429" s="6">
        <v>584.64</v>
      </c>
      <c r="K429" s="4">
        <f>Tabela1[[#This Row],[Estoque total]]-Tabela1[[#This Row],[Consumo]]</f>
        <v>84</v>
      </c>
      <c r="L429" s="7">
        <f>(Tabela1[[#This Row],[Valor total]]/Tabela1[[#This Row],[Estoque total]])*Tabela1[[#This Row],[Consumo]]</f>
        <v>0</v>
      </c>
    </row>
    <row r="430" spans="1:12" x14ac:dyDescent="0.25">
      <c r="A430" t="s">
        <v>847</v>
      </c>
      <c r="B430" t="s">
        <v>848</v>
      </c>
      <c r="C430" t="s">
        <v>2</v>
      </c>
      <c r="D430" t="s">
        <v>3</v>
      </c>
      <c r="E430" t="s">
        <v>4</v>
      </c>
      <c r="F430" t="s">
        <v>5</v>
      </c>
      <c r="G430" s="2">
        <v>342</v>
      </c>
      <c r="H430" t="s">
        <v>6</v>
      </c>
      <c r="I430" s="6">
        <v>2110.14</v>
      </c>
      <c r="K430" s="4">
        <f>Tabela1[[#This Row],[Estoque total]]-Tabela1[[#This Row],[Consumo]]</f>
        <v>342</v>
      </c>
      <c r="L430" s="7">
        <f>(Tabela1[[#This Row],[Valor total]]/Tabela1[[#This Row],[Estoque total]])*Tabela1[[#This Row],[Consumo]]</f>
        <v>0</v>
      </c>
    </row>
    <row r="431" spans="1:12" x14ac:dyDescent="0.25">
      <c r="A431" t="s">
        <v>849</v>
      </c>
      <c r="B431" t="s">
        <v>850</v>
      </c>
      <c r="C431" t="s">
        <v>2</v>
      </c>
      <c r="D431" t="s">
        <v>3</v>
      </c>
      <c r="E431" t="s">
        <v>4</v>
      </c>
      <c r="F431" t="s">
        <v>19</v>
      </c>
      <c r="G431" s="2">
        <v>8</v>
      </c>
      <c r="H431" t="s">
        <v>6</v>
      </c>
      <c r="I431" s="6">
        <v>17.2</v>
      </c>
      <c r="K431" s="4">
        <f>Tabela1[[#This Row],[Estoque total]]-Tabela1[[#This Row],[Consumo]]</f>
        <v>8</v>
      </c>
      <c r="L431" s="7">
        <f>(Tabela1[[#This Row],[Valor total]]/Tabela1[[#This Row],[Estoque total]])*Tabela1[[#This Row],[Consumo]]</f>
        <v>0</v>
      </c>
    </row>
    <row r="432" spans="1:12" x14ac:dyDescent="0.25">
      <c r="A432" t="s">
        <v>849</v>
      </c>
      <c r="B432" t="s">
        <v>850</v>
      </c>
      <c r="C432" t="s">
        <v>2</v>
      </c>
      <c r="D432" t="s">
        <v>3</v>
      </c>
      <c r="E432" t="s">
        <v>4</v>
      </c>
      <c r="F432" t="s">
        <v>5</v>
      </c>
      <c r="G432" s="2">
        <v>172</v>
      </c>
      <c r="H432" t="s">
        <v>6</v>
      </c>
      <c r="I432" s="6">
        <v>369.8</v>
      </c>
      <c r="K432" s="4">
        <f>Tabela1[[#This Row],[Estoque total]]-Tabela1[[#This Row],[Consumo]]</f>
        <v>172</v>
      </c>
      <c r="L432" s="7">
        <f>(Tabela1[[#This Row],[Valor total]]/Tabela1[[#This Row],[Estoque total]])*Tabela1[[#This Row],[Consumo]]</f>
        <v>0</v>
      </c>
    </row>
    <row r="433" spans="1:12" x14ac:dyDescent="0.25">
      <c r="A433" t="s">
        <v>851</v>
      </c>
      <c r="B433" t="s">
        <v>852</v>
      </c>
      <c r="C433" t="s">
        <v>2</v>
      </c>
      <c r="D433" t="s">
        <v>3</v>
      </c>
      <c r="E433" t="s">
        <v>4</v>
      </c>
      <c r="F433" t="s">
        <v>5</v>
      </c>
      <c r="G433" s="2">
        <v>4</v>
      </c>
      <c r="H433" t="s">
        <v>6</v>
      </c>
      <c r="I433" s="6">
        <v>61.05</v>
      </c>
      <c r="K433" s="4">
        <f>Tabela1[[#This Row],[Estoque total]]-Tabela1[[#This Row],[Consumo]]</f>
        <v>4</v>
      </c>
      <c r="L433" s="7">
        <f>(Tabela1[[#This Row],[Valor total]]/Tabela1[[#This Row],[Estoque total]])*Tabela1[[#This Row],[Consumo]]</f>
        <v>0</v>
      </c>
    </row>
    <row r="434" spans="1:12" x14ac:dyDescent="0.25">
      <c r="A434" t="s">
        <v>853</v>
      </c>
      <c r="B434" t="s">
        <v>854</v>
      </c>
      <c r="C434" t="s">
        <v>2</v>
      </c>
      <c r="D434" t="s">
        <v>3</v>
      </c>
      <c r="E434" t="s">
        <v>4</v>
      </c>
      <c r="F434" t="s">
        <v>19</v>
      </c>
      <c r="G434" s="2">
        <v>1</v>
      </c>
      <c r="H434" t="s">
        <v>6</v>
      </c>
      <c r="I434" s="6">
        <v>13.02</v>
      </c>
      <c r="K434" s="4">
        <f>Tabela1[[#This Row],[Estoque total]]-Tabela1[[#This Row],[Consumo]]</f>
        <v>1</v>
      </c>
      <c r="L434" s="7">
        <f>(Tabela1[[#This Row],[Valor total]]/Tabela1[[#This Row],[Estoque total]])*Tabela1[[#This Row],[Consumo]]</f>
        <v>0</v>
      </c>
    </row>
    <row r="436" spans="1:12" x14ac:dyDescent="0.25">
      <c r="I436" s="9">
        <f>SUM(Tabela1[Valor total])</f>
        <v>999139.96000000043</v>
      </c>
      <c r="L436" s="8">
        <f>SUM(Tabela1[Consumo2])</f>
        <v>26834.985347147369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Rui Simoes</cp:lastModifiedBy>
  <cp:revision>1</cp:revision>
  <dcterms:modified xsi:type="dcterms:W3CDTF">2026-09-17T14:05:19Z</dcterms:modified>
  <cp:category/>
</cp:coreProperties>
</file>