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b68f15bdc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e2b75e3a7e44d9"/>
  </x:sheets>
</x:workbook>
</file>

<file path=xl/sharedStrings.xml><?xml version="1.0" encoding="utf-8"?>
<x:sst xmlns:x="http://schemas.openxmlformats.org/spreadsheetml/2006/main">
  <x:si>
    <x:t xml:space="preserve">Material</x:t>
  </x:si>
  <x:si>
    <x:t xml:space="preserve">Texto breve material</x:t>
  </x:si>
  <x:si>
    <x:t xml:space="preserve">Lote</x:t>
  </x:si>
  <x:si>
    <x:t xml:space="preserve">Centro</x:t>
  </x:si>
  <x:si>
    <x:t xml:space="preserve">Depósito</x:t>
  </x:si>
  <x:si>
    <x:t xml:space="preserve">Elemento PEP</x:t>
  </x:si>
  <x:si>
    <x:t xml:space="preserve">Estoque total</x:t>
  </x:si>
  <x:si>
    <x:t xml:space="preserve">UM básica</x:t>
  </x:si>
  <x:si>
    <x:t xml:space="preserve">Valor total</x:t>
  </x:si>
  <x:si>
    <x:t xml:space="preserve">Consumo</x:t>
  </x:si>
  <x:si>
    <x:t xml:space="preserve">Stock</x:t>
  </x:si>
  <x:si>
    <x:t xml:space="preserve">Consumo2</x:t>
  </x:si>
  <x:si>
    <x:t xml:space="preserve">4026880</x:t>
  </x:si>
  <x:si>
    <x:t xml:space="preserve">1203A-PERFIL U80X45X6 A=240 B=365</x:t>
  </x:si>
  <x:si>
    <x:t xml:space="preserve">2</x:t>
  </x:si>
  <x:si>
    <x:t xml:space="preserve">2060</x:t>
  </x:si>
  <x:si>
    <x:t xml:space="preserve">2061</x:t>
  </x:si>
  <x:si>
    <x:t xml:space="preserve">IC-0019-P-01</x:t>
  </x:si>
  <x:si>
    <x:t xml:space="preserve">UN</x:t>
  </x:si>
  <x:si>
    <x:t xml:space="preserve">4026425</x:t>
  </x:si>
  <x:si>
    <x:t xml:space="preserve">307-CAVILHA P/PE CONSOLA</x:t>
  </x:si>
  <x:si>
    <x:t xml:space="preserve">4026519</x:t>
  </x:si>
  <x:si>
    <x:t xml:space="preserve">513-ARTICULACAO TIRANTE CONSOLA</x:t>
  </x:si>
  <x:si>
    <x:t xml:space="preserve">4026528</x:t>
  </x:si>
  <x:si>
    <x:t xml:space="preserve">524-APERTA TUBO C/OLHAL P/TUBO 24X32</x:t>
  </x:si>
  <x:si>
    <x:t xml:space="preserve">4026529</x:t>
  </x:si>
  <x:si>
    <x:t xml:space="preserve">525-APERTA TUBO C/OLHAL P/ANT TUBO 34X3</x:t>
  </x:si>
  <x:si>
    <x:t xml:space="preserve">4029797</x:t>
  </x:si>
  <x:si>
    <x:t xml:space="preserve">556-APERTA TUBO C/OLHAL P/TIRANTE CONSO</x:t>
  </x:si>
  <x:si>
    <x:t xml:space="preserve">4026448</x:t>
  </x:si>
  <x:si>
    <x:t xml:space="preserve">560-PINCA SUSPENSAO CDT AL-ACO</x:t>
  </x:si>
  <x:si>
    <x:t xml:space="preserve">IC-0019</x:t>
  </x:si>
  <x:si>
    <x:t xml:space="preserve">4026550</x:t>
  </x:si>
  <x:si>
    <x:t xml:space="preserve">562-CORONHA P/BRACO CHAMADA 25X30</x:t>
  </x:si>
  <x:si>
    <x:t xml:space="preserve">4037047</x:t>
  </x:si>
  <x:si>
    <x:t xml:space="preserve">566-CINTA P/TUBO GUIA</x:t>
  </x:si>
  <x:si>
    <x:t xml:space="preserve">4032248</x:t>
  </x:si>
  <x:si>
    <x:t xml:space="preserve">82-BRINCO TRIANGULAR COMPRIDO TIPO A</x:t>
  </x:si>
  <x:si>
    <x:t xml:space="preserve">4043142</x:t>
  </x:si>
  <x:si>
    <x:t xml:space="preserve">102B-BRINCO AMARR P/POSTES ESPIADOS X=95</x:t>
  </x:si>
  <x:si>
    <x:t xml:space="preserve">4026317</x:t>
  </x:si>
  <x:si>
    <x:t xml:space="preserve">103-BRINCO AMARRACAO CAT COMPENSADA</x:t>
  </x:si>
  <x:si>
    <x:t xml:space="preserve">4026296</x:t>
  </x:si>
  <x:si>
    <x:t xml:space="preserve">10A-TUBO GALVANIZADO 19X26</x:t>
  </x:si>
  <x:si>
    <x:t xml:space="preserve">4026297</x:t>
  </x:si>
  <x:si>
    <x:t xml:space="preserve">10C-TUBO GALVANIZADO 24X32</x:t>
  </x:si>
  <x:si>
    <x:t xml:space="preserve">4026299</x:t>
  </x:si>
  <x:si>
    <x:t xml:space="preserve">10E-TUBO GALVANIZADO 30X38</x:t>
  </x:si>
  <x:si>
    <x:t xml:space="preserve">4026300</x:t>
  </x:si>
  <x:si>
    <x:t xml:space="preserve">10F-TUBO GALVANIZADO 34X42</x:t>
  </x:si>
  <x:si>
    <x:t xml:space="preserve">4026301</x:t>
  </x:si>
  <x:si>
    <x:t xml:space="preserve">10G-TUBO GALVANIZADO 40X49</x:t>
  </x:si>
  <x:si>
    <x:t xml:space="preserve">4026302</x:t>
  </x:si>
  <x:si>
    <x:t xml:space="preserve">10H-TUBO GALVANIZADO 27X34</x:t>
  </x:si>
  <x:si>
    <x:t xml:space="preserve">4043165</x:t>
  </x:si>
  <x:si>
    <x:t xml:space="preserve">10P-TUBO ALUM-MAG 25X30</x:t>
  </x:si>
  <x:si>
    <x:t xml:space="preserve">4043169</x:t>
  </x:si>
  <x:si>
    <x:t xml:space="preserve">1113A-CANTONEIRA P/1TUBO GUIA (L=325)</x:t>
  </x:si>
  <x:si>
    <x:t xml:space="preserve">4039572</x:t>
  </x:si>
  <x:si>
    <x:t xml:space="preserve">1113B-CANTONEIRA P/1TUBO GUIA (L=405)</x:t>
  </x:si>
  <x:si>
    <x:t xml:space="preserve">4043175</x:t>
  </x:si>
  <x:si>
    <x:t xml:space="preserve">111A-CANTONEIRA P/AT (L80X80X8) L=325</x:t>
  </x:si>
  <x:si>
    <x:t xml:space="preserve">4043176</x:t>
  </x:si>
  <x:si>
    <x:t xml:space="preserve">111B-CANTONEIRA P/AT (L80X80X8) L=405</x:t>
  </x:si>
  <x:si>
    <x:t xml:space="preserve">4049010</x:t>
  </x:si>
  <x:si>
    <x:t xml:space="preserve">1127-CANTONEIRA L60X60X6 L=405</x:t>
  </x:si>
  <x:si>
    <x:t xml:space="preserve">4026319</x:t>
  </x:si>
  <x:si>
    <x:t xml:space="preserve">112A-CANTONEIRA (60X60X6) L=305</x:t>
  </x:si>
  <x:si>
    <x:t xml:space="preserve">4026320</x:t>
  </x:si>
  <x:si>
    <x:t xml:space="preserve">112B-CANTONEIRA (60X60X6) L=385</x:t>
  </x:si>
  <x:si>
    <x:t xml:space="preserve">4043191</x:t>
  </x:si>
  <x:si>
    <x:t xml:space="preserve">113A-CANTONEIRA P/ALONGA (60X60X6) L=305</x:t>
  </x:si>
  <x:si>
    <x:t xml:space="preserve">4043194</x:t>
  </x:si>
  <x:si>
    <x:t xml:space="preserve">115A-CANTONEIRA P/AT (60X60X6) L=325</x:t>
  </x:si>
  <x:si>
    <x:t xml:space="preserve">4043197</x:t>
  </x:si>
  <x:si>
    <x:t xml:space="preserve">121A-CANTONEIRA FIX REG C/2TIRANTE L=350</x:t>
  </x:si>
  <x:si>
    <x:t xml:space="preserve">4032270</x:t>
  </x:si>
  <x:si>
    <x:t xml:space="preserve">123A-CANTONEIRA P/2TIRANTES  CONSOLA</x:t>
  </x:si>
  <x:si>
    <x:t xml:space="preserve">4037095</x:t>
  </x:si>
  <x:si>
    <x:t xml:space="preserve">1250A-SECCIONADOR UNIPOLAR TIPO SBR</x:t>
  </x:si>
  <x:si>
    <x:t xml:space="preserve">4026325</x:t>
  </x:si>
  <x:si>
    <x:t xml:space="preserve">125A-CANTONEIRA FIX REG P.S.L=305 C/FURO</x:t>
  </x:si>
  <x:si>
    <x:t xml:space="preserve">4043204</x:t>
  </x:si>
  <x:si>
    <x:t xml:space="preserve">125B-CANTONEIRA FIX REG P.S.L=365 C/FURO</x:t>
  </x:si>
  <x:si>
    <x:t xml:space="preserve">4026327</x:t>
  </x:si>
  <x:si>
    <x:t xml:space="preserve">125C-CANTONEIRA FIX REG P.S.L=425 C/FURO</x:t>
  </x:si>
  <x:si>
    <x:t xml:space="preserve">4026328</x:t>
  </x:si>
  <x:si>
    <x:t xml:space="preserve">125D-CANTONEIRA FIX REG POSTE SIMPLES L=</x:t>
  </x:si>
  <x:si>
    <x:t xml:space="preserve">4036961</x:t>
  </x:si>
  <x:si>
    <x:t xml:space="preserve">125E-CANTONEIRA 90X90X9 L= 385</x:t>
  </x:si>
  <x:si>
    <x:t xml:space="preserve">4026330</x:t>
  </x:si>
  <x:si>
    <x:t xml:space="preserve">125F-CANTONEIRA FIX REG POSTE SIMPLES L=</x:t>
  </x:si>
  <x:si>
    <x:t xml:space="preserve">4043210</x:t>
  </x:si>
  <x:si>
    <x:t xml:space="preserve">130A-CANTONEIRA P/CONSOLA FEEDER DRT</x:t>
  </x:si>
  <x:si>
    <x:t xml:space="preserve">4043211</x:t>
  </x:si>
  <x:si>
    <x:t xml:space="preserve">130B-CANTONEIRA P/CONSOLA FEEDER ESQ</x:t>
  </x:si>
  <x:si>
    <x:t xml:space="preserve">4043212</x:t>
  </x:si>
  <x:si>
    <x:t xml:space="preserve">131A-CANTONEIRA P/CONSOLA FEEDER DRT</x:t>
  </x:si>
  <x:si>
    <x:t xml:space="preserve">4043213</x:t>
  </x:si>
  <x:si>
    <x:t xml:space="preserve">131B-CANTONEIRA P/CONSOLA FEEDER ESQ</x:t>
  </x:si>
  <x:si>
    <x:t xml:space="preserve">4043225</x:t>
  </x:si>
  <x:si>
    <x:t xml:space="preserve">14B2-ESPIA Ø 24 L=7,45m</x:t>
  </x:si>
  <x:si>
    <x:t xml:space="preserve">4026307</x:t>
  </x:si>
  <x:si>
    <x:t xml:space="preserve">14B4-ESPIA Ø 24 L=8,70m</x:t>
  </x:si>
  <x:si>
    <x:t xml:space="preserve">4026308</x:t>
  </x:si>
  <x:si>
    <x:t xml:space="preserve">14B5-EAPIAØ 24 L=9,15m</x:t>
  </x:si>
  <x:si>
    <x:t xml:space="preserve">4043226</x:t>
  </x:si>
  <x:si>
    <x:t xml:space="preserve">14B7-ESPIA Ø 24 L=10,25m</x:t>
  </x:si>
  <x:si>
    <x:t xml:space="preserve">4037194</x:t>
  </x:si>
  <x:si>
    <x:t xml:space="preserve">160A-CANTONEIRA P/FIX TUB GUIA CON L=405</x:t>
  </x:si>
  <x:si>
    <x:t xml:space="preserve">4029801</x:t>
  </x:si>
  <x:si>
    <x:t xml:space="preserve">161-CANTONEIRA AFA.CON.DUP.C/APAR.TENSOR</x:t>
  </x:si>
  <x:si>
    <x:t xml:space="preserve">4043027</x:t>
  </x:si>
  <x:si>
    <x:t xml:space="preserve">166-CANTONEIRA ADAP 3 PES CONSOLA</x:t>
  </x:si>
  <x:si>
    <x:t xml:space="preserve">4043028</x:t>
  </x:si>
  <x:si>
    <x:t xml:space="preserve">167-CANTONEIRA FIX 3TIRANTES+3PE CONSOLA</x:t>
  </x:si>
  <x:si>
    <x:t xml:space="preserve">4026375</x:t>
  </x:si>
  <x:si>
    <x:t xml:space="preserve">16B2-PARAFUSO M10X35/26 C/HU+HM</x:t>
  </x:si>
  <x:si>
    <x:t xml:space="preserve">4026376</x:t>
  </x:si>
  <x:si>
    <x:t xml:space="preserve">16B4-PARAFUSO M10X45/45 C/HU+HM</x:t>
  </x:si>
  <x:si>
    <x:t xml:space="preserve">4036944</x:t>
  </x:si>
  <x:si>
    <x:t xml:space="preserve">16C9-PARAFUSO M12X120/30 C/ HU+HM</x:t>
  </x:si>
  <x:si>
    <x:t xml:space="preserve">4043317</x:t>
  </x:si>
  <x:si>
    <x:t xml:space="preserve">16D1-PARAFUSO M16X30/30 C/HU</x:t>
  </x:si>
  <x:si>
    <x:t xml:space="preserve">4026379</x:t>
  </x:si>
  <x:si>
    <x:t xml:space="preserve">16D14-PARAFUSO M16X70/38 C/HU+HM</x:t>
  </x:si>
  <x:si>
    <x:t xml:space="preserve">4026580</x:t>
  </x:si>
  <x:si>
    <x:t xml:space="preserve">16D2-PARAFUSO M16X40/40 C/HU+HM</x:t>
  </x:si>
  <x:si>
    <x:t xml:space="preserve">4026462</x:t>
  </x:si>
  <x:si>
    <x:t xml:space="preserve">16D24-PARAFUSO M16X60/38 C/HU</x:t>
  </x:si>
  <x:si>
    <x:t xml:space="preserve">4036945</x:t>
  </x:si>
  <x:si>
    <x:t xml:space="preserve">16D29-PARAFUSO M16X80/38 C/ HU+HM</x:t>
  </x:si>
  <x:si>
    <x:t xml:space="preserve">4026463</x:t>
  </x:si>
  <x:si>
    <x:t xml:space="preserve">16D3-PARAFUSO M16X45/38 C/HU+HM</x:t>
  </x:si>
  <x:si>
    <x:t xml:space="preserve">4026464</x:t>
  </x:si>
  <x:si>
    <x:t xml:space="preserve">16D4-PARAFUSO M16X50/38 C/HU+HM</x:t>
  </x:si>
  <x:si>
    <x:t xml:space="preserve">4026466</x:t>
  </x:si>
  <x:si>
    <x:t xml:space="preserve">16D6-PARAFUSO M16X55/3/ C/HU+HM</x:t>
  </x:si>
  <x:si>
    <x:t xml:space="preserve">4026381</x:t>
  </x:si>
  <x:si>
    <x:t xml:space="preserve">16D8-PARAFUSO M16X60/38</x:t>
  </x:si>
  <x:si>
    <x:t xml:space="preserve">4026460</x:t>
  </x:si>
  <x:si>
    <x:t xml:space="preserve">16D9-PARAFUSO M16X65/38 C/HU+HM</x:t>
  </x:si>
  <x:si>
    <x:t xml:space="preserve">4026467</x:t>
  </x:si>
  <x:si>
    <x:t xml:space="preserve">16E1-PARAFUSO M18X55/42 C/HU+HM</x:t>
  </x:si>
  <x:si>
    <x:t xml:space="preserve">4026468</x:t>
  </x:si>
  <x:si>
    <x:t xml:space="preserve">16E2-PARAFUSO M18X60/42 C/HU+HM</x:t>
  </x:si>
  <x:si>
    <x:t xml:space="preserve">4026471</x:t>
  </x:si>
  <x:si>
    <x:t xml:space="preserve">16F3-PARAFUSO M20X60/46 C/HU+HM</x:t>
  </x:si>
  <x:si>
    <x:t xml:space="preserve">4026472</x:t>
  </x:si>
  <x:si>
    <x:t xml:space="preserve">16F4-PARAFUSO M20X70/46 C/HU+HM</x:t>
  </x:si>
  <x:si>
    <x:t xml:space="preserve">4026473</x:t>
  </x:si>
  <x:si>
    <x:t xml:space="preserve">16F6-PARAFUSO M20X130/52 C/HU+HM</x:t>
  </x:si>
  <x:si>
    <x:t xml:space="preserve">4043340</x:t>
  </x:si>
  <x:si>
    <x:t xml:space="preserve">16F9-PARAFUSO M20X55/46 C/HU+HM</x:t>
  </x:si>
  <x:si>
    <x:t xml:space="preserve">4026475</x:t>
  </x:si>
  <x:si>
    <x:t xml:space="preserve">16G-PARAFUSO M22X75/46 C/HU</x:t>
  </x:si>
  <x:si>
    <x:t xml:space="preserve">4026476</x:t>
  </x:si>
  <x:si>
    <x:t xml:space="preserve">16H-PARAFUSO M30X100/66 C/HU</x:t>
  </x:si>
  <x:si>
    <x:t xml:space="preserve">4043029</x:t>
  </x:si>
  <x:si>
    <x:t xml:space="preserve">170-CANTONEIRA P/FIX TIRANTE+PÉ CONSOLA</x:t>
  </x:si>
  <x:si>
    <x:t xml:space="preserve">4043539</x:t>
  </x:si>
  <x:si>
    <x:t xml:space="preserve">172A-CANTONEIRA TRAV TT L80X80X8  B=365</x:t>
  </x:si>
  <x:si>
    <x:t xml:space="preserve">4026334</x:t>
  </x:si>
  <x:si>
    <x:t xml:space="preserve">172B-CANTONEIRA TRAV TT L80X80X8 B=405</x:t>
  </x:si>
  <x:si>
    <x:t xml:space="preserve">4043342</x:t>
  </x:si>
  <x:si>
    <x:t xml:space="preserve">17A-PARAFUSO ACO/INOX SEXT M10X30/26</x:t>
  </x:si>
  <x:si>
    <x:t xml:space="preserve">4026383</x:t>
  </x:si>
  <x:si>
    <x:t xml:space="preserve">17C-PARAFUSO INOX SEXT M12X30/30 C/HU</x:t>
  </x:si>
  <x:si>
    <x:t xml:space="preserve">4036947</x:t>
  </x:si>
  <x:si>
    <x:t xml:space="preserve">17D-PARAFUSO M12X40/40 C/HU</x:t>
  </x:si>
  <x:si>
    <x:t xml:space="preserve">4036948</x:t>
  </x:si>
  <x:si>
    <x:t xml:space="preserve">17E-PARAFUSO M12X45/45 C/ HU</x:t>
  </x:si>
  <x:si>
    <x:t xml:space="preserve">4026387</x:t>
  </x:si>
  <x:si>
    <x:t xml:space="preserve">17I-PARAFUSO INOX M10X60/26 C/HU</x:t>
  </x:si>
  <x:si>
    <x:t xml:space="preserve">4026389</x:t>
  </x:si>
  <x:si>
    <x:t xml:space="preserve">17N-PARAFUSO INOX M8X45/45 C/HU</x:t>
  </x:si>
  <x:si>
    <x:t xml:space="preserve">4043347</x:t>
  </x:si>
  <x:si>
    <x:t xml:space="preserve">17Q-PARAFUSO INOX M8X30/30 C/HU</x:t>
  </x:si>
  <x:si>
    <x:t xml:space="preserve">4038577</x:t>
  </x:si>
  <x:si>
    <x:t xml:space="preserve">17V-PARAFUSO INOX M10X50/50 C/HU</x:t>
  </x:si>
  <x:si>
    <x:t xml:space="preserve">4048954</x:t>
  </x:si>
  <x:si>
    <x:t xml:space="preserve">17W-PARAFUSO M6X12/12</x:t>
  </x:si>
  <x:si>
    <x:t xml:space="preserve">4048955</x:t>
  </x:si>
  <x:si>
    <x:t xml:space="preserve">17W1-PARAFUSO M8X12/12</x:t>
  </x:si>
  <x:si>
    <x:t xml:space="preserve">4049006</x:t>
  </x:si>
  <x:si>
    <x:t xml:space="preserve">17W2-PARAFUSO M6X16/16</x:t>
  </x:si>
  <x:si>
    <x:t xml:space="preserve">4049007</x:t>
  </x:si>
  <x:si>
    <x:t xml:space="preserve">17W3-PARAFUSO M12X20/20</x:t>
  </x:si>
  <x:si>
    <x:t xml:space="preserve">4038596</x:t>
  </x:si>
  <x:si>
    <x:t xml:space="preserve">17X-PARAFUSO M6X25/25 C/HU+HM</x:t>
  </x:si>
  <x:si>
    <x:t xml:space="preserve">4036922</x:t>
  </x:si>
  <x:si>
    <x:t xml:space="preserve">188A-CANTONEIR P/FIX COMA L60X60X6 L=330</x:t>
  </x:si>
  <x:si>
    <x:t xml:space="preserve">4029802</x:t>
  </x:si>
  <x:si>
    <x:t xml:space="preserve">189A-CANTON P/FIX CAIX COM L60X60X6L=360</x:t>
  </x:si>
  <x:si>
    <x:t xml:space="preserve">4036949</x:t>
  </x:si>
  <x:si>
    <x:t xml:space="preserve">18A-PERNO ROSC M16X300/100 C/2HU+HM</x:t>
  </x:si>
  <x:si>
    <x:t xml:space="preserve">4036950</x:t>
  </x:si>
  <x:si>
    <x:t xml:space="preserve">18C-PERNO ROSC M16X350/100 2HU+2HM+2ANIL</x:t>
  </x:si>
  <x:si>
    <x:t xml:space="preserve">4036965</x:t>
  </x:si>
  <x:si>
    <x:t xml:space="preserve">18D-PERNO ROSC M16X400/100 C/2HU+HM</x:t>
  </x:si>
  <x:si>
    <x:t xml:space="preserve">4038619</x:t>
  </x:si>
  <x:si>
    <x:t xml:space="preserve">18E-PERNO ROSC M16X450/100 C/2HU+2HM+ANI</x:t>
  </x:si>
  <x:si>
    <x:t xml:space="preserve">4026312</x:t>
  </x:si>
  <x:si>
    <x:t xml:space="preserve">18I-PERNO ROSC M20X300/70 2HU+2HM+2ANI</x:t>
  </x:si>
  <x:si>
    <x:t xml:space="preserve">4037056</x:t>
  </x:si>
  <x:si>
    <x:t xml:space="preserve">18J-PERNO ROSC M20X350/70 C/2HU+HM</x:t>
  </x:si>
  <x:si>
    <x:t xml:space="preserve">4037057</x:t>
  </x:si>
  <x:si>
    <x:t xml:space="preserve">18K-PERNO ROSC M20X350/100 C/HU+HM+ANILH</x:t>
  </x:si>
  <x:si>
    <x:t xml:space="preserve">4036951</x:t>
  </x:si>
  <x:si>
    <x:t xml:space="preserve">18L-PERNO ROSC M20X400/70</x:t>
  </x:si>
  <x:si>
    <x:t xml:space="preserve">4037067</x:t>
  </x:si>
  <x:si>
    <x:t xml:space="preserve">18M-PERNO ROSC M20X400/100 C/HU+HM+ANILH</x:t>
  </x:si>
  <x:si>
    <x:t xml:space="preserve">4043581</x:t>
  </x:si>
  <x:si>
    <x:t xml:space="preserve">18P-PERNO ROSC M20X450/70 2HU+2HM+2ANI</x:t>
  </x:si>
  <x:si>
    <x:t xml:space="preserve">4043587</x:t>
  </x:si>
  <x:si>
    <x:t xml:space="preserve">19A-ANILHA M17,5</x:t>
  </x:si>
  <x:si>
    <x:t xml:space="preserve">4026395</x:t>
  </x:si>
  <x:si>
    <x:t xml:space="preserve">19C-PORCA M18</x:t>
  </x:si>
  <x:si>
    <x:t xml:space="preserve">4036092</x:t>
  </x:si>
  <x:si>
    <x:t xml:space="preserve">19D-ANILHA MOLA B12</x:t>
  </x:si>
  <x:si>
    <x:t xml:space="preserve">4036953</x:t>
  </x:si>
  <x:si>
    <x:t xml:space="preserve">19F-ANILHA PLANA D=13,5MM</x:t>
  </x:si>
  <x:si>
    <x:t xml:space="preserve">4049008</x:t>
  </x:si>
  <x:si>
    <x:t xml:space="preserve">19L-ANILHA M9</x:t>
  </x:si>
  <x:si>
    <x:t xml:space="preserve">4048952</x:t>
  </x:si>
  <x:si>
    <x:t xml:space="preserve">19M-ANILHA MOLA B8</x:t>
  </x:si>
  <x:si>
    <x:t xml:space="preserve">4048953</x:t>
  </x:si>
  <x:si>
    <x:t xml:space="preserve">2051 PERNO ROSC M6X150/150 C/4HU+4ANI</x:t>
  </x:si>
  <x:si>
    <x:t xml:space="preserve">4043692</x:t>
  </x:si>
  <x:si>
    <x:t xml:space="preserve">210A-PERFIL P/FIX REG CDTAU80X45X6 L=305</x:t>
  </x:si>
  <x:si>
    <x:t xml:space="preserve">4043693</x:t>
  </x:si>
  <x:si>
    <x:t xml:space="preserve">210B-PERFIL P/FIX REG CDTAU80X45X6 L=385</x:t>
  </x:si>
  <x:si>
    <x:t xml:space="preserve">4043710</x:t>
  </x:si>
  <x:si>
    <x:t xml:space="preserve">211A-PERFIL RG TIR CONS U80X45X6 L=305</x:t>
  </x:si>
  <x:si>
    <x:t xml:space="preserve">4043711</x:t>
  </x:si>
  <x:si>
    <x:t xml:space="preserve">211B-PERFIL RG TIR CONS U80X45X6 L=305</x:t>
  </x:si>
  <x:si>
    <x:t xml:space="preserve">4043694</x:t>
  </x:si>
  <x:si>
    <x:t xml:space="preserve">213A-PERFIL P/FIX REG 2TIR CON U120X55X7</x:t>
  </x:si>
  <x:si>
    <x:t xml:space="preserve">4043696</x:t>
  </x:si>
  <x:si>
    <x:t xml:space="preserve">216A-PERFIL P/AT U180X70X8 L=325</x:t>
  </x:si>
  <x:si>
    <x:t xml:space="preserve">4043697</x:t>
  </x:si>
  <x:si>
    <x:t xml:space="preserve">216B-PERFIL P/AT U180X70X8 L=405</x:t>
  </x:si>
  <x:si>
    <x:t xml:space="preserve">4043698</x:t>
  </x:si>
  <x:si>
    <x:t xml:space="preserve">217A-PERFIL P/FIX 2PE CON U140X60X7</x:t>
  </x:si>
  <x:si>
    <x:t xml:space="preserve">4043781</x:t>
  </x:si>
  <x:si>
    <x:t xml:space="preserve">223A-POSTALETE FEEDER U100X50X6 L=2100</x:t>
  </x:si>
  <x:si>
    <x:t xml:space="preserve">4043782</x:t>
  </x:si>
  <x:si>
    <x:t xml:space="preserve">223B-POSTALETE FEEDER U100X50X6 L=2600</x:t>
  </x:si>
  <x:si>
    <x:t xml:space="preserve">4040844</x:t>
  </x:si>
  <x:si>
    <x:t xml:space="preserve">223C-POSTALETE FEEDER L=3600</x:t>
  </x:si>
  <x:si>
    <x:t xml:space="preserve">4026345</x:t>
  </x:si>
  <x:si>
    <x:t xml:space="preserve">225A1-ALONGA P/1PE CONS L60X60X6 L=600</x:t>
  </x:si>
  <x:si>
    <x:t xml:space="preserve">4026346</x:t>
  </x:si>
  <x:si>
    <x:t xml:space="preserve">225A2-ALONGA P/1PE CONS L60X60X6 L=900</x:t>
  </x:si>
  <x:si>
    <x:t xml:space="preserve">4049013</x:t>
  </x:si>
  <x:si>
    <x:t xml:space="preserve">240A1-ALONGA P/1TIRANTE L=600 M=305</x:t>
  </x:si>
  <x:si>
    <x:t xml:space="preserve">4032261</x:t>
  </x:si>
  <x:si>
    <x:t xml:space="preserve">240A2-ALONGA P/MONT 1TIRAN U60X30X6 L=90</x:t>
  </x:si>
  <x:si>
    <x:t xml:space="preserve">4049012</x:t>
  </x:si>
  <x:si>
    <x:t xml:space="preserve">243-PERFIL U140X60X7 L=250</x:t>
  </x:si>
  <x:si>
    <x:t xml:space="preserve">4032251</x:t>
  </x:si>
  <x:si>
    <x:t xml:space="preserve">245-PERFIL P/AFAST CONS DUPLAS C/AT</x:t>
  </x:si>
  <x:si>
    <x:t xml:space="preserve">4043707</x:t>
  </x:si>
  <x:si>
    <x:t xml:space="preserve">248A-PERFIL P/AT CP4 L=325</x:t>
  </x:si>
  <x:si>
    <x:t xml:space="preserve">4043708</x:t>
  </x:si>
  <x:si>
    <x:t xml:space="preserve">248B-PERFIL P/AT CP4 L=405</x:t>
  </x:si>
  <x:si>
    <x:t xml:space="preserve">4029807</x:t>
  </x:si>
  <x:si>
    <x:t xml:space="preserve">250C-ALONGA U65X42X5,5 L=1900 C=305</x:t>
  </x:si>
  <x:si>
    <x:t xml:space="preserve">4043045</x:t>
  </x:si>
  <x:si>
    <x:t xml:space="preserve">253-PERFIL U P/FIX 3PE CONSOLA</x:t>
  </x:si>
  <x:si>
    <x:t xml:space="preserve">4043047</x:t>
  </x:si>
  <x:si>
    <x:t xml:space="preserve">255-SUPORTE FIX ISOLADOR APOIO</x:t>
  </x:si>
  <x:si>
    <x:t xml:space="preserve">4036963</x:t>
  </x:si>
  <x:si>
    <x:t xml:space="preserve">263D-PERNO ROSC M10X90/90 C/ 2HU</x:t>
  </x:si>
  <x:si>
    <x:t xml:space="preserve">4037076</x:t>
  </x:si>
  <x:si>
    <x:t xml:space="preserve">267A-FERRO U 40x20x5  C/CHAPA L=155</x:t>
  </x:si>
  <x:si>
    <x:t xml:space="preserve">4038956</x:t>
  </x:si>
  <x:si>
    <x:t xml:space="preserve">267C - PERFIL U40x20x5 C/CHAPA L=211mm</x:t>
  </x:si>
  <x:si>
    <x:t xml:space="preserve">4043065</x:t>
  </x:si>
  <x:si>
    <x:t xml:space="preserve">271-ESQUADRO ABAIX P/CONSOLA FEEDER</x:t>
  </x:si>
  <x:si>
    <x:t xml:space="preserve">4037077</x:t>
  </x:si>
  <x:si>
    <x:t xml:space="preserve">273A-BARRA ACO  50X10 L=330</x:t>
  </x:si>
  <x:si>
    <x:t xml:space="preserve">4037055</x:t>
  </x:si>
  <x:si>
    <x:t xml:space="preserve">291A-CHAVETA 1/2 CANA CU 5X50</x:t>
  </x:si>
  <x:si>
    <x:t xml:space="preserve">4026410</x:t>
  </x:si>
  <x:si>
    <x:t xml:space="preserve">291B-CHAVETA 1/2 CANA CU 4X40</x:t>
  </x:si>
  <x:si>
    <x:t xml:space="preserve">4037890</x:t>
  </x:si>
  <x:si>
    <x:t xml:space="preserve">291C-CHAVETA 1/2 CANA CU 3,2X40</x:t>
  </x:si>
  <x:si>
    <x:t xml:space="preserve">4043600</x:t>
  </x:si>
  <x:si>
    <x:t xml:space="preserve">293B-CAVALEIRO P/CABO 95MM</x:t>
  </x:si>
  <x:si>
    <x:t xml:space="preserve">4026412</x:t>
  </x:si>
  <x:si>
    <x:t xml:space="preserve">294A-SAPATILHO 10 30X2X1X6X10</x:t>
  </x:si>
  <x:si>
    <x:t xml:space="preserve">4026413</x:t>
  </x:si>
  <x:si>
    <x:t xml:space="preserve">294B-SAPATILHO 25 41X3X1,5X10X14</x:t>
  </x:si>
  <x:si>
    <x:t xml:space="preserve">4043602</x:t>
  </x:si>
  <x:si>
    <x:t xml:space="preserve">294D-SAPATILHO 10 45X3X1X10X14 (LP5)</x:t>
  </x:si>
  <x:si>
    <x:t xml:space="preserve">4026414</x:t>
  </x:si>
  <x:si>
    <x:t xml:space="preserve">295A-MANGA APERTO 10MM</x:t>
  </x:si>
  <x:si>
    <x:t xml:space="preserve">4026415</x:t>
  </x:si>
  <x:si>
    <x:t xml:space="preserve">295B-MANGA APERTO 25MM</x:t>
  </x:si>
  <x:si>
    <x:t xml:space="preserve">4026483</x:t>
  </x:si>
  <x:si>
    <x:t xml:space="preserve">296B-BAINHA PROTECAO 130X33X1 R=11</x:t>
  </x:si>
  <x:si>
    <x:t xml:space="preserve">4026417</x:t>
  </x:si>
  <x:si>
    <x:t xml:space="preserve">296H-BAINHA PROTECAO 120X50X1 R=16</x:t>
  </x:si>
  <x:si>
    <x:t xml:space="preserve">4027091</x:t>
  </x:si>
  <x:si>
    <x:t xml:space="preserve">298-ANEL FORMA OITO P/PENDULO FIXO</x:t>
  </x:si>
  <x:si>
    <x:t xml:space="preserve">4036942</x:t>
  </x:si>
  <x:si>
    <x:t xml:space="preserve">302A-REBITE CU 7X60</x:t>
  </x:si>
  <x:si>
    <x:t xml:space="preserve">4026421</x:t>
  </x:si>
  <x:si>
    <x:t xml:space="preserve">302B-REBITE CU5X40</x:t>
  </x:si>
  <x:si>
    <x:t xml:space="preserve">4026422</x:t>
  </x:si>
  <x:si>
    <x:t xml:space="preserve">302C-REBITE CU 7X45</x:t>
  </x:si>
  <x:si>
    <x:t xml:space="preserve">4038089</x:t>
  </x:si>
  <x:si>
    <x:t xml:space="preserve">303B-REBITES ALUM</x:t>
  </x:si>
  <x:si>
    <x:t xml:space="preserve">4026426</x:t>
  </x:si>
  <x:si>
    <x:t xml:space="preserve">340-PLACA PERIGO DE MORTE PEQUENA</x:t>
  </x:si>
  <x:si>
    <x:t xml:space="preserve">4037051</x:t>
  </x:si>
  <x:si>
    <x:t xml:space="preserve">343-GRIFE SIMPLES P/BRACO CHAMADA</x:t>
  </x:si>
  <x:si>
    <x:t xml:space="preserve">4026428</x:t>
  </x:si>
  <x:si>
    <x:t xml:space="preserve">348-MEIA PINCA P/ANTIB FC SOBREELEVADO</x:t>
  </x:si>
  <x:si>
    <x:t xml:space="preserve">4036968</x:t>
  </x:si>
  <x:si>
    <x:t xml:space="preserve">359-MEIA GARRA P/ CABO 65MM2 / 95 MM2</x:t>
  </x:si>
  <x:si>
    <x:t xml:space="preserve">4036969</x:t>
  </x:si>
  <x:si>
    <x:t xml:space="preserve">360-MEIA GARRA P/CABO 95MM/FC 107MM</x:t>
  </x:si>
  <x:si>
    <x:t xml:space="preserve">4036940</x:t>
  </x:si>
  <x:si>
    <x:t xml:space="preserve">361-GARRA P/CABO 70MM/107MM</x:t>
  </x:si>
  <x:si>
    <x:t xml:space="preserve">4026431</x:t>
  </x:si>
  <x:si>
    <x:t xml:space="preserve">373-PEÇA AMARRACAO P/CABO 150MM</x:t>
  </x:si>
  <x:si>
    <x:t xml:space="preserve">4041406</x:t>
  </x:si>
  <x:si>
    <x:t xml:space="preserve">380-MANGA JUNÇÃO P/FEEDER 150MM2</x:t>
  </x:si>
  <x:si>
    <x:t xml:space="preserve">4043072</x:t>
  </x:si>
  <x:si>
    <x:t xml:space="preserve">382-MANGA JUNCAO P/CABO TERRA AEREO</x:t>
  </x:si>
  <x:si>
    <x:t xml:space="preserve">4026492</x:t>
  </x:si>
  <x:si>
    <x:t xml:space="preserve">383-PLACA IDENTIFICACAO ISOLADOR SECCAO</x:t>
  </x:si>
  <x:si>
    <x:t xml:space="preserve">4026493</x:t>
  </x:si>
  <x:si>
    <x:t xml:space="preserve">401-ROLDANA P/PORTICO FLEXIVEL</x:t>
  </x:si>
  <x:si>
    <x:t xml:space="preserve">4043592</x:t>
  </x:si>
  <x:si>
    <x:t xml:space="preserve">406A-CAVILHA 40xØ13</x:t>
  </x:si>
  <x:si>
    <x:t xml:space="preserve">4026433</x:t>
  </x:si>
  <x:si>
    <x:t xml:space="preserve">406B-CAVILHA 52xØ19</x:t>
  </x:si>
  <x:si>
    <x:t xml:space="preserve">4043593</x:t>
  </x:si>
  <x:si>
    <x:t xml:space="preserve">406C-CAVILHA 50XØ16</x:t>
  </x:si>
  <x:si>
    <x:t xml:space="preserve">4029814</x:t>
  </x:si>
  <x:si>
    <x:t xml:space="preserve">407-PERNO ROSCADO P/ESPIAM SOBREELEVADO</x:t>
  </x:si>
  <x:si>
    <x:t xml:space="preserve">4026494</x:t>
  </x:si>
  <x:si>
    <x:t xml:space="preserve">408A-ESTRIBO AMARRAÇÃO M20 C/PORCAS</x:t>
  </x:si>
  <x:si>
    <x:t xml:space="preserve">4043817</x:t>
  </x:si>
  <x:si>
    <x:t xml:space="preserve">408B-ESTRIBO AMARRACAO M27 C/PORCAS</x:t>
  </x:si>
  <x:si>
    <x:t xml:space="preserve">4043594</x:t>
  </x:si>
  <x:si>
    <x:t xml:space="preserve">410A-ESTICADOR ABERTO</x:t>
  </x:si>
  <x:si>
    <x:t xml:space="preserve">4043595</x:t>
  </x:si>
  <x:si>
    <x:t xml:space="preserve">410C-ESTICADOR ABERTO</x:t>
  </x:si>
  <x:si>
    <x:t xml:space="preserve">4026434</x:t>
  </x:si>
  <x:si>
    <x:t xml:space="preserve">411A-ESTICADOR TUBO P/5TON</x:t>
  </x:si>
  <x:si>
    <x:t xml:space="preserve">4026435</x:t>
  </x:si>
  <x:si>
    <x:t xml:space="preserve">411B-ESTICADOR TUBO P/9TON</x:t>
  </x:si>
  <x:si>
    <x:t xml:space="preserve">4026496</x:t>
  </x:si>
  <x:si>
    <x:t xml:space="preserve">415A-PERNO ROSCADO CURVO M19 L=275</x:t>
  </x:si>
  <x:si>
    <x:t xml:space="preserve">4026497</x:t>
  </x:si>
  <x:si>
    <x:t xml:space="preserve">417-PERNO ROSCADO M16 C/OLHAL</x:t>
  </x:si>
  <x:si>
    <x:t xml:space="preserve">4036964</x:t>
  </x:si>
  <x:si>
    <x:t xml:space="preserve">423H-VARA SUSPENSAO CONTRA PESO L=1150</x:t>
  </x:si>
  <x:si>
    <x:t xml:space="preserve">4026436</x:t>
  </x:si>
  <x:si>
    <x:t xml:space="preserve">431-ABRACADEIRA P/VARA SUSPEN CONTRAPESO</x:t>
  </x:si>
  <x:si>
    <x:t xml:space="preserve">4026499</x:t>
  </x:si>
  <x:si>
    <x:t xml:space="preserve">432A-ABRACADEIRA C/PORCA M12 O=54</x:t>
  </x:si>
  <x:si>
    <x:t xml:space="preserve">4026500</x:t>
  </x:si>
  <x:si>
    <x:t xml:space="preserve">432B-ABRACADEIRA C/PORCA M12 O=62</x:t>
  </x:si>
  <x:si>
    <x:t xml:space="preserve">4026503</x:t>
  </x:si>
  <x:si>
    <x:t xml:space="preserve">432C-ABRACADEIRA C7PORCA M10 O=47</x:t>
  </x:si>
  <x:si>
    <x:t xml:space="preserve">4026502</x:t>
  </x:si>
  <x:si>
    <x:t xml:space="preserve">432D-ABRACADEIRA C/PORCA M12 O=55</x:t>
  </x:si>
  <x:si>
    <x:t xml:space="preserve">4038618</x:t>
  </x:si>
  <x:si>
    <x:t xml:space="preserve">432E-ABRACADEIRA C/PORCA M10 O=40</x:t>
  </x:si>
  <x:si>
    <x:t xml:space="preserve">4026504</x:t>
  </x:si>
  <x:si>
    <x:t xml:space="preserve">432F-ABRACADEIRA C/PORCA M10 O=61</x:t>
  </x:si>
  <x:si>
    <x:t xml:space="preserve">4026437</x:t>
  </x:si>
  <x:si>
    <x:t xml:space="preserve">44-VARA REGULACAO DIREITA L=410</x:t>
  </x:si>
  <x:si>
    <x:t xml:space="preserve">4026505</x:t>
  </x:si>
  <x:si>
    <x:t xml:space="preserve">442-PARAFUSO PONTO M12X22/22</x:t>
  </x:si>
  <x:si>
    <x:t xml:space="preserve">4037052</x:t>
  </x:si>
  <x:si>
    <x:t xml:space="preserve">448-MANGA INT P/TUBO GUIA C/HU+HM</x:t>
  </x:si>
  <x:si>
    <x:t xml:space="preserve">4026440</x:t>
  </x:si>
  <x:si>
    <x:t xml:space="preserve">451-MANILHA P/TRANSVERSAL ALMENTACAO</x:t>
  </x:si>
  <x:si>
    <x:t xml:space="preserve">4032236</x:t>
  </x:si>
  <x:si>
    <x:t xml:space="preserve">455-MOLA BLINDADA PARA PORTIC FLEXIVEL</x:t>
  </x:si>
  <x:si>
    <x:t xml:space="preserve">4026555</x:t>
  </x:si>
  <x:si>
    <x:t xml:space="preserve">462A-APERTA TUBO P/ANTIBALANCANTE 40X49</x:t>
  </x:si>
  <x:si>
    <x:t xml:space="preserve">4026373</x:t>
  </x:si>
  <x:si>
    <x:t xml:space="preserve">464A-SUPORTE P/2CABOS</x:t>
  </x:si>
  <x:si>
    <x:t xml:space="preserve">4029815</x:t>
  </x:si>
  <x:si>
    <x:t xml:space="preserve">465-ESQUADRO SUS.PINC.SUSP.CABO.SUP.CONS</x:t>
  </x:si>
  <x:si>
    <x:t xml:space="preserve">4026509</x:t>
  </x:si>
  <x:si>
    <x:t xml:space="preserve">480-ARTICULACAO TIRANTE P/ISOL SINTETICO</x:t>
  </x:si>
  <x:si>
    <x:t xml:space="preserve">4032237</x:t>
  </x:si>
  <x:si>
    <x:t xml:space="preserve">483-MANGA INTERIOR 24X32</x:t>
  </x:si>
  <x:si>
    <x:t xml:space="preserve">4026510</x:t>
  </x:si>
  <x:si>
    <x:t xml:space="preserve">501A-CORPO PINCA SUSP CS P/CONSOLA 30X38</x:t>
  </x:si>
  <x:si>
    <x:t xml:space="preserve">4026511</x:t>
  </x:si>
  <x:si>
    <x:t xml:space="preserve">501B-CORPO PINCA SUSP CS P/CONSOLA 40X49</x:t>
  </x:si>
  <x:si>
    <x:t xml:space="preserve">4036988</x:t>
  </x:si>
  <x:si>
    <x:t xml:space="preserve">501C-PINCA SUSP. CABO SUPORTE CONSOLA</x:t>
  </x:si>
  <x:si>
    <x:t xml:space="preserve">4036989</x:t>
  </x:si>
  <x:si>
    <x:t xml:space="preserve">501D-TAMPA PINCA SUSP.CABO SUPORTE</x:t>
  </x:si>
  <x:si>
    <x:t xml:space="preserve">4043605</x:t>
  </x:si>
  <x:si>
    <x:t xml:space="preserve">506A-PINCA SUSP FUNICULARES 50-65MM</x:t>
  </x:si>
  <x:si>
    <x:t xml:space="preserve">4026515</x:t>
  </x:si>
  <x:si>
    <x:t xml:space="preserve">509-SUPORTE FIXACAO FUNICULAR</x:t>
  </x:si>
  <x:si>
    <x:t xml:space="preserve">4026516</x:t>
  </x:si>
  <x:si>
    <x:t xml:space="preserve">510-SUPORTE FIXACAO APARELHO TENSOR</x:t>
  </x:si>
  <x:si>
    <x:t xml:space="preserve">4026517</x:t>
  </x:si>
  <x:si>
    <x:t xml:space="preserve">511-PECA AMARRACAO ESPIA</x:t>
  </x:si>
  <x:si>
    <x:t xml:space="preserve">4026518</x:t>
  </x:si>
  <x:si>
    <x:t xml:space="preserve">512-SUPORTE FIXACAO TIRANTE CONSOLA</x:t>
  </x:si>
  <x:si>
    <x:t xml:space="preserve">4027093</x:t>
  </x:si>
  <x:si>
    <x:t xml:space="preserve">514A-PE CONSOLA ARTICULADO B=285</x:t>
  </x:si>
  <x:si>
    <x:t xml:space="preserve">4032281</x:t>
  </x:si>
  <x:si>
    <x:t xml:space="preserve">514B-PE CONSOLA ARTICULADO B=365</x:t>
  </x:si>
  <x:si>
    <x:t xml:space="preserve">4026521</x:t>
  </x:si>
  <x:si>
    <x:t xml:space="preserve">515-ARTICULACAO PE CONSOLA</x:t>
  </x:si>
  <x:si>
    <x:t xml:space="preserve">4026522</x:t>
  </x:si>
  <x:si>
    <x:t xml:space="preserve">516-PONTEIRA P/TUBO 19X26</x:t>
  </x:si>
  <x:si>
    <x:t xml:space="preserve">4026523</x:t>
  </x:si>
  <x:si>
    <x:t xml:space="preserve">517-TERMINAL VARA REGULACAO</x:t>
  </x:si>
  <x:si>
    <x:t xml:space="preserve">4026524</x:t>
  </x:si>
  <x:si>
    <x:t xml:space="preserve">518A-APERTA TUBO C/ARTICULACAO 24X32</x:t>
  </x:si>
  <x:si>
    <x:t xml:space="preserve">4026525</x:t>
  </x:si>
  <x:si>
    <x:t xml:space="preserve">518B-APERTA TUBO C/ARTICULACAO 34X42</x:t>
  </x:si>
  <x:si>
    <x:t xml:space="preserve">4026526</x:t>
  </x:si>
  <x:si>
    <x:t xml:space="preserve">522-APERTA TUBO C/OLHAL P/TUBO 30X38</x:t>
  </x:si>
  <x:si>
    <x:t xml:space="preserve">4026527</x:t>
  </x:si>
  <x:si>
    <x:t xml:space="preserve">523-APERTA TUBO C/OLHAL P/TUBO 40X49</x:t>
  </x:si>
  <x:si>
    <x:t xml:space="preserve">4032249</x:t>
  </x:si>
  <x:si>
    <x:t xml:space="preserve">526-APERTA CABO DE EXTERMIDADE TUBO19X26</x:t>
  </x:si>
  <x:si>
    <x:t xml:space="preserve">4026531</x:t>
  </x:si>
  <x:si>
    <x:t xml:space="preserve">527-PECA SUSPENSAO TRANSV NO PORTICO</x:t>
  </x:si>
  <x:si>
    <x:t xml:space="preserve">4026532</x:t>
  </x:si>
  <x:si>
    <x:t xml:space="preserve">528-BRACADEIRA C/MAXIL P/CABO TUBO 19X26</x:t>
  </x:si>
  <x:si>
    <x:t xml:space="preserve">4036937</x:t>
  </x:si>
  <x:si>
    <x:t xml:space="preserve">531A-ARTIC. F P/VARA COMANDO SECCIONADOR</x:t>
  </x:si>
  <x:si>
    <x:t xml:space="preserve">4036938</x:t>
  </x:si>
  <x:si>
    <x:t xml:space="preserve">531B-ARTIC. M P/VARA COMANDO SECCIONADOR</x:t>
  </x:si>
  <x:si>
    <x:t xml:space="preserve">4026445</x:t>
  </x:si>
  <x:si>
    <x:t xml:space="preserve">531C-ARTICULACAO EXTRMID P/VARA COMANDO</x:t>
  </x:si>
  <x:si>
    <x:t xml:space="preserve">4026534</x:t>
  </x:si>
  <x:si>
    <x:t xml:space="preserve">533C-GANCHO P/BRACO CHAMADA 25X30 (FECH)</x:t>
  </x:si>
  <x:si>
    <x:t xml:space="preserve">4026535</x:t>
  </x:si>
  <x:si>
    <x:t xml:space="preserve">536-GANCHO P/TUBO 24X32</x:t>
  </x:si>
  <x:si>
    <x:t xml:space="preserve">4026536</x:t>
  </x:si>
  <x:si>
    <x:t xml:space="preserve">536B-GANCHO P/TUBO 34X42</x:t>
  </x:si>
  <x:si>
    <x:t xml:space="preserve">4026537</x:t>
  </x:si>
  <x:si>
    <x:t xml:space="preserve">537-GANCHO P/TUBO 19X26 ROSCADO</x:t>
  </x:si>
  <x:si>
    <x:t xml:space="preserve">4026539</x:t>
  </x:si>
  <x:si>
    <x:t xml:space="preserve">540A-PECA AMARR P/CABOS 50-70MM/FC 107MM</x:t>
  </x:si>
  <x:si>
    <x:t xml:space="preserve">4026540</x:t>
  </x:si>
  <x:si>
    <x:t xml:space="preserve">540B-CUNHA P/ FC 107MM</x:t>
  </x:si>
  <x:si>
    <x:t xml:space="preserve">4026541</x:t>
  </x:si>
  <x:si>
    <x:t xml:space="preserve">540C-CUNHA P/CABOS 50-70MM</x:t>
  </x:si>
  <x:si>
    <x:t xml:space="preserve">4026544</x:t>
  </x:si>
  <x:si>
    <x:t xml:space="preserve">542-PACA REG "TIPO 1" P/ESPIA AMARRACAO</x:t>
  </x:si>
  <x:si>
    <x:t xml:space="preserve">4038355</x:t>
  </x:si>
  <x:si>
    <x:t xml:space="preserve">543 PECA REG "TIPO R2" P/ESPIA AMARRACAO</x:t>
  </x:si>
  <x:si>
    <x:t xml:space="preserve">4029795</x:t>
  </x:si>
  <x:si>
    <x:t xml:space="preserve">544A-CALCO APOIO P/ESPIA SOBREELEVADA</x:t>
  </x:si>
  <x:si>
    <x:t xml:space="preserve">4038354</x:t>
  </x:si>
  <x:si>
    <x:t xml:space="preserve">544B ROTULA APOIO P/ESPIA SOBREELEVADA</x:t>
  </x:si>
  <x:si>
    <x:t xml:space="preserve">4026545</x:t>
  </x:si>
  <x:si>
    <x:t xml:space="preserve">546-MANGA APERTO</x:t>
  </x:si>
  <x:si>
    <x:t xml:space="preserve">4043095</x:t>
  </x:si>
  <x:si>
    <x:t xml:space="preserve">550-UNIAO ROSC P/VARA COMANDO SECCIONADO</x:t>
  </x:si>
  <x:si>
    <x:t xml:space="preserve">4043096</x:t>
  </x:si>
  <x:si>
    <x:t xml:space="preserve">551-PINCA SUSP P/FEEDER 150MM</x:t>
  </x:si>
  <x:si>
    <x:t xml:space="preserve">4026547</x:t>
  </x:si>
  <x:si>
    <x:t xml:space="preserve">552-LIGADOR BIFILAR</x:t>
  </x:si>
  <x:si>
    <x:t xml:space="preserve">4026549</x:t>
  </x:si>
  <x:si>
    <x:t xml:space="preserve">558A-CORONHA C/MANGA APERTO</x:t>
  </x:si>
  <x:si>
    <x:t xml:space="preserve">4026446</x:t>
  </x:si>
  <x:si>
    <x:t xml:space="preserve">559A-TERMINAL P/VARA COMANADO</x:t>
  </x:si>
  <x:si>
    <x:t xml:space="preserve">4026447</x:t>
  </x:si>
  <x:si>
    <x:t xml:space="preserve">559B-CAVILHA 19X80</x:t>
  </x:si>
  <x:si>
    <x:t xml:space="preserve">4036993</x:t>
  </x:si>
  <x:si>
    <x:t xml:space="preserve">561-PECA AMARRACAO P/ C.D.T.A.</x:t>
  </x:si>
  <x:si>
    <x:t xml:space="preserve">4026565</x:t>
  </x:si>
  <x:si>
    <x:t xml:space="preserve">564-CONTRAPESO 40KG</x:t>
  </x:si>
  <x:si>
    <x:t xml:space="preserve">4026566</x:t>
  </x:si>
  <x:si>
    <x:t xml:space="preserve">565-CONTRAPESO 20KG</x:t>
  </x:si>
  <x:si>
    <x:t xml:space="preserve">4026568</x:t>
  </x:si>
  <x:si>
    <x:t xml:space="preserve">60-ISOLADOR SINTÉTICO P/TIRANTE</x:t>
  </x:si>
  <x:si>
    <x:t xml:space="preserve">4026569</x:t>
  </x:si>
  <x:si>
    <x:t xml:space="preserve">61-ISOLADOR SINTETICO P/CONSOLA</x:t>
  </x:si>
  <x:si>
    <x:t xml:space="preserve">4026570</x:t>
  </x:si>
  <x:si>
    <x:t xml:space="preserve">62-ISOLADOR SINTETICO 11T</x:t>
  </x:si>
  <x:si>
    <x:t xml:space="preserve">4026554</x:t>
  </x:si>
  <x:si>
    <x:t xml:space="preserve">622-APARELHO TENSOR</x:t>
  </x:si>
  <x:si>
    <x:t xml:space="preserve">4046820</x:t>
  </x:si>
  <x:si>
    <x:t xml:space="preserve">623E-SECCIONADOR COMPLETO</x:t>
  </x:si>
  <x:si>
    <x:t xml:space="preserve">4026556</x:t>
  </x:si>
  <x:si>
    <x:t xml:space="preserve">627-SUPORTE FIX BRACO CHAMADA P/AMV´S</x:t>
  </x:si>
  <x:si>
    <x:t xml:space="preserve">4026558</x:t>
  </x:si>
  <x:si>
    <x:t xml:space="preserve">638-MEIA GARRA P/FC</x:t>
  </x:si>
  <x:si>
    <x:t xml:space="preserve">4026559</x:t>
  </x:si>
  <x:si>
    <x:t xml:space="preserve">639-MEIA GARRA P/CABO SUPORTE</x:t>
  </x:si>
  <x:si>
    <x:t xml:space="preserve">4037054</x:t>
  </x:si>
  <x:si>
    <x:t xml:space="preserve">640-TERMINAL P/CABO BZ 12MM</x:t>
  </x:si>
  <x:si>
    <x:t xml:space="preserve">4036941</x:t>
  </x:si>
  <x:si>
    <x:t xml:space="preserve">641-MANGA C/ OLHAL P/ TUBO 30X36 E 30X38</x:t>
  </x:si>
  <x:si>
    <x:t xml:space="preserve">4036990</x:t>
  </x:si>
  <x:si>
    <x:t xml:space="preserve">642-SUP. FIX. BRACO CHAM. ANTI 30X38</x:t>
  </x:si>
  <x:si>
    <x:t xml:space="preserve">4038819</x:t>
  </x:si>
  <x:si>
    <x:t xml:space="preserve">642-SUPORTE FIX BRACO CHAM P/TUBO 24X32</x:t>
  </x:si>
  <x:si>
    <x:t xml:space="preserve">4036994</x:t>
  </x:si>
  <x:si>
    <x:t xml:space="preserve">643-BRACO CHAMADA (CATENARIA LP5)</x:t>
  </x:si>
  <x:si>
    <x:t xml:space="preserve">4043107</x:t>
  </x:si>
  <x:si>
    <x:t xml:space="preserve">644-BRACO CHAMADA SLA (LP5)</x:t>
  </x:si>
  <x:si>
    <x:t xml:space="preserve">4043112</x:t>
  </x:si>
  <x:si>
    <x:t xml:space="preserve">654-ISOLADOR SECCAO 25KV C/2ISOLADORES</x:t>
  </x:si>
  <x:si>
    <x:t xml:space="preserve">4043113</x:t>
  </x:si>
  <x:si>
    <x:t xml:space="preserve">657-ELETRODO DE TERRA</x:t>
  </x:si>
  <x:si>
    <x:t xml:space="preserve">4004593</x:t>
  </x:si>
  <x:si>
    <x:t xml:space="preserve">660A-TERMINAL COMPRESSAO AL/CU 50MM</x:t>
  </x:si>
  <x:si>
    <x:t xml:space="preserve">4004594</x:t>
  </x:si>
  <x:si>
    <x:t xml:space="preserve">660B-TERMINAL COMPRESSAO AL/CU 70MM</x:t>
  </x:si>
  <x:si>
    <x:t xml:space="preserve">4004595</x:t>
  </x:si>
  <x:si>
    <x:t xml:space="preserve">660C-TERMINAL COMPRESSAO AL/CU 95MM</x:t>
  </x:si>
  <x:si>
    <x:t xml:space="preserve">4026562</x:t>
  </x:si>
  <x:si>
    <x:t xml:space="preserve">719-TAMPAO FEMEA 3/4</x:t>
  </x:si>
  <x:si>
    <x:t xml:space="preserve">4043122</x:t>
  </x:si>
  <x:si>
    <x:t xml:space="preserve">725-CANTONEIRA P/FIX 2TIRANTE 2PES CONSO</x:t>
  </x:si>
  <x:si>
    <x:t xml:space="preserve">4046819</x:t>
  </x:si>
  <x:si>
    <x:t xml:space="preserve">728B-CAIXA COMANDO ELET. P/SECCIONADOR</x:t>
  </x:si>
  <x:si>
    <x:t xml:space="preserve">4043838</x:t>
  </x:si>
  <x:si>
    <x:t xml:space="preserve">731A-CANTONEIRA FIX L70X70X7 C=305</x:t>
  </x:si>
  <x:si>
    <x:t xml:space="preserve">4026491</x:t>
  </x:si>
  <x:si>
    <x:t xml:space="preserve">805-ABRACADEIRA CABECA DESTACAVEL</x:t>
  </x:si>
  <x:si>
    <x:t xml:space="preserve">4026400</x:t>
  </x:si>
  <x:si>
    <x:t xml:space="preserve">81-BRINCO CURTO</x:t>
  </x:si>
  <x:si>
    <x:t xml:space="preserve">4027087</x:t>
  </x:si>
  <x:si>
    <x:t xml:space="preserve">86A-BRINCO P/ESPIAS AMARRACAO-TIPO J1</x:t>
  </x:si>
  <x:si>
    <x:t xml:space="preserve">4032247</x:t>
  </x:si>
  <x:si>
    <x:t xml:space="preserve">86B-BRINCO P/ESPIAS AMARRACAO-TIPO J2</x:t>
  </x:si>
  <x:si>
    <x:t xml:space="preserve">4043003</x:t>
  </x:si>
  <x:si>
    <x:t xml:space="preserve">89-BRINCO AMARR TRANSV ALIMENT</x:t>
  </x:si>
  <x:si>
    <x:t xml:space="preserve">4026224</x:t>
  </x:si>
  <x:si>
    <x:t xml:space="preserve">9C-CABO BRONZE 10MM</x:t>
  </x:si>
  <x:si>
    <x:t xml:space="preserve">M</x:t>
  </x:si>
  <x:si>
    <x:t xml:space="preserve">4026591</x:t>
  </x:si>
  <x:si>
    <x:t xml:space="preserve">9G-CABO BRONZE 65MM</x:t>
  </x:si>
  <x:si>
    <x:t xml:space="preserve">4026586</x:t>
  </x:si>
  <x:si>
    <x:t xml:space="preserve">9M-CABO COBRE DURO 150MM</x:t>
  </x:si>
  <x:si>
    <x:t xml:space="preserve">4043815</x:t>
  </x:si>
  <x:si>
    <x:t xml:space="preserve">9P-CABO COBRE DURO 95MM</x:t>
  </x:si>
  <x:si>
    <x:t xml:space="preserve">4038626</x:t>
  </x:si>
  <x:si>
    <x:t xml:space="preserve">9Q-CONDUTOR DE COBRE DURO 12,56MM</x:t>
  </x:si>
  <x:si>
    <x:t xml:space="preserve">4026592</x:t>
  </x:si>
  <x:si>
    <x:t xml:space="preserve">9S-FIO CONTACTO 107MM</x:t>
  </x:si>
  <x:si>
    <x:t xml:space="preserve">4026588</x:t>
  </x:si>
  <x:si>
    <x:t xml:space="preserve">9U-CABO ALU-ACO 93,3MM</x:t>
  </x:si>
  <x:si>
    <x:t xml:space="preserve">4015939</x:t>
  </x:si>
  <x:si>
    <x:t xml:space="preserve">9U1-CABO LXV 50MM</x:t>
  </x:si>
  <x:si>
    <x:t xml:space="preserve">4026589</x:t>
  </x:si>
  <x:si>
    <x:t xml:space="preserve">9V-CABO BRONZE 12MM</x:t>
  </x:si>
  <x:si>
    <x:t xml:space="preserve">4038586</x:t>
  </x:si>
  <x:si>
    <x:t xml:space="preserve">ABRACADEIRA ALGEROZ 50MM</x:t>
  </x:si>
  <x:si>
    <x:t xml:space="preserve">4037210</x:t>
  </x:si>
  <x:si>
    <x:t xml:space="preserve">ABRACADEIRA ALGEROZ 90mm</x:t>
  </x:si>
  <x:si>
    <x:t xml:space="preserve">4002623</x:t>
  </x:si>
  <x:si>
    <x:t xml:space="preserve">ABRACADEIRA ELECTRODO TERRA</x:t>
  </x:si>
  <x:si>
    <x:t xml:space="preserve">5015289</x:t>
  </x:si>
  <x:si>
    <x:t xml:space="preserve">ABRACADEIRA ESPIGA 3/4''</x:t>
  </x:si>
  <x:si>
    <x:t xml:space="preserve">4015267</x:t>
  </x:si>
  <x:si>
    <x:t xml:space="preserve">ACOPLAMENTO ELASTICO 630</x:t>
  </x:si>
  <x:si>
    <x:t xml:space="preserve">5016685</x:t>
  </x:si>
  <x:si>
    <x:t xml:space="preserve">ADAPTADOR P/ SERRA CRANEANAS</x:t>
  </x:si>
  <x:si>
    <x:t xml:space="preserve">5016731</x:t>
  </x:si>
  <x:si>
    <x:t xml:space="preserve">4032360</x:t>
  </x:si>
  <x:si>
    <x:t xml:space="preserve">ANILHA INOX M10</x:t>
  </x:si>
  <x:si>
    <x:t xml:space="preserve">4023516</x:t>
  </x:si>
  <x:si>
    <x:t xml:space="preserve">ANILHA M12 – INOX</x:t>
  </x:si>
  <x:si>
    <x:t xml:space="preserve">4002706</x:t>
  </x:si>
  <x:si>
    <x:t xml:space="preserve">ARAME ACO</x:t>
  </x:si>
  <x:si>
    <x:t xml:space="preserve">4010296</x:t>
  </x:si>
  <x:si>
    <x:t xml:space="preserve">BARRA COLETORA TERRAS</x:t>
  </x:si>
  <x:si>
    <x:t xml:space="preserve">5002284</x:t>
  </x:si>
  <x:si>
    <x:t xml:space="preserve">BARROTE 264X07X07</x:t>
  </x:si>
  <x:si>
    <x:t xml:space="preserve">5004986</x:t>
  </x:si>
  <x:si>
    <x:t xml:space="preserve">BOBINE MADEIRA TIPO A12</x:t>
  </x:si>
  <x:si>
    <x:t xml:space="preserve">A141113420</x:t>
  </x:si>
  <x:si>
    <x:t xml:space="preserve">5004993</x:t>
  </x:si>
  <x:si>
    <x:t xml:space="preserve">BOBINE MADEIRA TIPO A18</x:t>
  </x:si>
  <x:si>
    <x:t xml:space="preserve">F18-0138</x:t>
  </x:si>
  <x:si>
    <x:t xml:space="preserve">5004983</x:t>
  </x:si>
  <x:si>
    <x:t xml:space="preserve">BOBINE MADEIRA TIPO A6</x:t>
  </x:si>
  <x:si>
    <x:t xml:space="preserve">P06-5055</x:t>
  </x:si>
  <x:si>
    <x:t xml:space="preserve">4041950</x:t>
  </x:si>
  <x:si>
    <x:t xml:space="preserve">BUCIM PG 21 JSL CZ</x:t>
  </x:si>
  <x:si>
    <x:t xml:space="preserve">5018828</x:t>
  </x:si>
  <x:si>
    <x:t xml:space="preserve">CABO ACO 10MM</x:t>
  </x:si>
  <x:si>
    <x:t xml:space="preserve">4003058</x:t>
  </x:si>
  <x:si>
    <x:t xml:space="preserve">CABO ACO 3MM</x:t>
  </x:si>
  <x:si>
    <x:t xml:space="preserve">4011117</x:t>
  </x:si>
  <x:si>
    <x:t xml:space="preserve">CABO LXV 1X70</x:t>
  </x:si>
  <x:si>
    <x:t xml:space="preserve">4003227</x:t>
  </x:si>
  <x:si>
    <x:t xml:space="preserve">CABO XV 2X2,5+T PT. (V/A/AZ/CT)</x:t>
  </x:si>
  <x:si>
    <x:t xml:space="preserve">4003273</x:t>
  </x:si>
  <x:si>
    <x:t xml:space="preserve">CABO XV 5X2,5 PT. (V/A/AZ/CT/PT/CZ)</x:t>
  </x:si>
  <x:si>
    <x:t xml:space="preserve">5003236</x:t>
  </x:si>
  <x:si>
    <x:t xml:space="preserve">CADEADO GRANDE 60MM</x:t>
  </x:si>
  <x:si>
    <x:t xml:space="preserve">4028050</x:t>
  </x:si>
  <x:si>
    <x:t xml:space="preserve">CAIXA CONEXAO INDUTIVA</x:t>
  </x:si>
  <x:si>
    <x:t xml:space="preserve">4020085</x:t>
  </x:si>
  <x:si>
    <x:t xml:space="preserve">CAIXA DERIV.SALIEN. ATEX GEWISS GW76291</x:t>
  </x:si>
  <x:si>
    <x:t xml:space="preserve">4049190</x:t>
  </x:si>
  <x:si>
    <x:t xml:space="preserve">CANTON INOX P/CDTE FT AÇO COB BARRA TERR</x:t>
  </x:si>
  <x:si>
    <x:t xml:space="preserve">4037907</x:t>
  </x:si>
  <x:si>
    <x:t xml:space="preserve">CARTUCHO KLK C 95</x:t>
  </x:si>
  <x:si>
    <x:t xml:space="preserve">5016465</x:t>
  </x:si>
  <x:si>
    <x:t xml:space="preserve">CERRA CABOS 5/16" 8MM</x:t>
  </x:si>
  <x:si>
    <x:t xml:space="preserve">4019688</x:t>
  </x:si>
  <x:si>
    <x:t xml:space="preserve">CHAVE UNIVERSAL</x:t>
  </x:si>
  <x:si>
    <x:t xml:space="preserve">5015056</x:t>
  </x:si>
  <x:si>
    <x:t xml:space="preserve">CINTA ROQUETE 35MMX6M 2TON</x:t>
  </x:si>
  <x:si>
    <x:t xml:space="preserve">4018800</x:t>
  </x:si>
  <x:si>
    <x:t xml:space="preserve">CONJUNTO DE BARRAMENTOS</x:t>
  </x:si>
  <x:si>
    <x:t xml:space="preserve">4049009</x:t>
  </x:si>
  <x:si>
    <x:t xml:space="preserve">CONTRAPORCA INOX M16</x:t>
  </x:si>
  <x:si>
    <x:t xml:space="preserve">3002314</x:t>
  </x:si>
  <x:si>
    <x:t xml:space="preserve">CORDA ARNES</x:t>
  </x:si>
  <x:si>
    <x:t xml:space="preserve">5018036</x:t>
  </x:si>
  <x:si>
    <x:t xml:space="preserve">CORDA NYLON 6MM</x:t>
  </x:si>
  <x:si>
    <x:t xml:space="preserve">KG</x:t>
  </x:si>
  <x:si>
    <x:t xml:space="preserve">4037858</x:t>
  </x:si>
  <x:si>
    <x:t xml:space="preserve">CUNHA NIVELADORA UNIVERSAL</x:t>
  </x:si>
  <x:si>
    <x:t xml:space="preserve">DIJ0034</x:t>
  </x:si>
  <x:si>
    <x:t xml:space="preserve">DISJUNTOR 2P 32A</x:t>
  </x:si>
  <x:si>
    <x:t xml:space="preserve">0000471756</x:t>
  </x:si>
  <x:si>
    <x:t xml:space="preserve">4036924</x:t>
  </x:si>
  <x:si>
    <x:t xml:space="preserve">EC-140/23-PERFIL U 140x60x7 L=550</x:t>
  </x:si>
  <x:si>
    <x:t xml:space="preserve">4036925</x:t>
  </x:si>
  <x:si>
    <x:t xml:space="preserve">EC-140/24-PERFIL U 140x60x7 L=590</x:t>
  </x:si>
  <x:si>
    <x:t xml:space="preserve">4037073</x:t>
  </x:si>
  <x:si>
    <x:t xml:space="preserve">EC-279-LIGADPR RBRC-12150</x:t>
  </x:si>
  <x:si>
    <x:t xml:space="preserve">4037072</x:t>
  </x:si>
  <x:si>
    <x:t xml:space="preserve">EC-281-LIGADOR RCP-15033</x:t>
  </x:si>
  <x:si>
    <x:t xml:space="preserve">4049011</x:t>
  </x:si>
  <x:si>
    <x:t xml:space="preserve">EC-346_4 PERFIL L60x60x6 L=580MM</x:t>
  </x:si>
  <x:si>
    <x:t xml:space="preserve">4042072</x:t>
  </x:si>
  <x:si>
    <x:t xml:space="preserve">ESQUADRO TRAVAMENTO TS35</x:t>
  </x:si>
  <x:si>
    <x:t xml:space="preserve">4001665</x:t>
  </x:si>
  <x:si>
    <x:t xml:space="preserve">ESTACA MADEIRA 70CM</x:t>
  </x:si>
  <x:si>
    <x:t xml:space="preserve">5003472</x:t>
  </x:si>
  <x:si>
    <x:t xml:space="preserve">ETM - ARNES CINTO SEGURANCA ANTI QUEDAS</x:t>
  </x:si>
  <x:si>
    <x:t xml:space="preserve">4003679</x:t>
  </x:si>
  <x:si>
    <x:t xml:space="preserve">EXTENSAO TRIPLA C/T 3MTS.</x:t>
  </x:si>
  <x:si>
    <x:t xml:space="preserve">4001935</x:t>
  </x:si>
  <x:si>
    <x:t xml:space="preserve">FECHADURA UNIVERSAL</x:t>
  </x:si>
  <x:si>
    <x:t xml:space="preserve">5003256</x:t>
  </x:si>
  <x:si>
    <x:t xml:space="preserve">FILME ESTIRAVEL PRETO 500MM</x:t>
  </x:si>
  <x:si>
    <x:t xml:space="preserve">ROL</x:t>
  </x:si>
  <x:si>
    <x:t xml:space="preserve">4038467</x:t>
  </x:si>
  <x:si>
    <x:t xml:space="preserve">FITA ACO COBREADO 30X3,5MM</x:t>
  </x:si>
  <x:si>
    <x:t xml:space="preserve">4049802</x:t>
  </x:si>
  <x:si>
    <x:t xml:space="preserve">FITA ACO INOX 304 3/4"</x:t>
  </x:si>
  <x:si>
    <x:t xml:space="preserve">5001894</x:t>
  </x:si>
  <x:si>
    <x:t xml:space="preserve">FITA METRICA CAIXA PLASTICA 8MT</x:t>
  </x:si>
  <x:si>
    <x:t xml:space="preserve">2100039</x:t>
  </x:si>
  <x:si>
    <x:t xml:space="preserve">FITA P/EMBALAGEM CASTANHA</x:t>
  </x:si>
  <x:si>
    <x:t xml:space="preserve">4003810</x:t>
  </x:si>
  <x:si>
    <x:t xml:space="preserve">FITA PERFURADA ZINCADA 12X0,8</x:t>
  </x:si>
  <x:si>
    <x:t xml:space="preserve">5004696</x:t>
  </x:si>
  <x:si>
    <x:t xml:space="preserve">FOLHA SERRA CORTAR FERRO</x:t>
  </x:si>
  <x:si>
    <x:t xml:space="preserve">4039483</x:t>
  </x:si>
  <x:si>
    <x:t xml:space="preserve">FUSIVEL 2,5A</x:t>
  </x:si>
  <x:si>
    <x:t xml:space="preserve">4037070</x:t>
  </x:si>
  <x:si>
    <x:t xml:space="preserve">FUSIVEL 6,3AX36KV C/PERCURTOR</x:t>
  </x:si>
  <x:si>
    <x:t xml:space="preserve">5003751</x:t>
  </x:si>
  <x:si>
    <x:t xml:space="preserve">GARRAFA ACETILENO GRANDE</x:t>
  </x:si>
  <x:si>
    <x:t xml:space="preserve">4015739</x:t>
  </x:si>
  <x:si>
    <x:t xml:space="preserve">GARRAFA OXIGENIO S0,5 2228</x:t>
  </x:si>
  <x:si>
    <x:t xml:space="preserve">5012351</x:t>
  </x:si>
  <x:si>
    <x:t xml:space="preserve">JOGO 9 CHAV. UMBRAKO FACOM 82H. JP9A</x:t>
  </x:si>
  <x:si>
    <x:t xml:space="preserve">4015909</x:t>
  </x:si>
  <x:si>
    <x:t xml:space="preserve">KIT P/ACOPO. CABO CARRIL 14-16,5 F19 M12</x:t>
  </x:si>
  <x:si>
    <x:t xml:space="preserve">4004145</x:t>
  </x:si>
  <x:si>
    <x:t xml:space="preserve">LIGADOR GARRA JBS C/2 PARAF. LGS-50/120</x:t>
  </x:si>
  <x:si>
    <x:t xml:space="preserve">4046821</x:t>
  </x:si>
  <x:si>
    <x:t xml:space="preserve">LIGADOR P/TT RBRC-18150</x:t>
  </x:si>
  <x:si>
    <x:t xml:space="preserve">MTR0001</x:t>
  </x:si>
  <x:si>
    <x:t xml:space="preserve">MANGA TERMORRETRATIL</x:t>
  </x:si>
  <x:si>
    <x:t xml:space="preserve">0000476653</x:t>
  </x:si>
  <x:si>
    <x:t xml:space="preserve">4017767</x:t>
  </x:si>
  <x:si>
    <x:t xml:space="preserve">MARCADOR ''#''</x:t>
  </x:si>
  <x:si>
    <x:t xml:space="preserve">4004249</x:t>
  </x:si>
  <x:si>
    <x:t xml:space="preserve">MARCADOR "."</x:t>
  </x:si>
  <x:si>
    <x:t xml:space="preserve">4010527</x:t>
  </x:si>
  <x:si>
    <x:t xml:space="preserve">MARCADOR "/"</x:t>
  </x:si>
  <x:si>
    <x:t xml:space="preserve">4004215</x:t>
  </x:si>
  <x:si>
    <x:t xml:space="preserve">MARCADOR "0"</x:t>
  </x:si>
  <x:si>
    <x:t xml:space="preserve">4004216</x:t>
  </x:si>
  <x:si>
    <x:t xml:space="preserve">MARCADOR "1"</x:t>
  </x:si>
  <x:si>
    <x:t xml:space="preserve">4004217</x:t>
  </x:si>
  <x:si>
    <x:t xml:space="preserve">MARCADOR "2"</x:t>
  </x:si>
  <x:si>
    <x:t xml:space="preserve">4006413</x:t>
  </x:si>
  <x:si>
    <x:t xml:space="preserve">MARCADOR "3"</x:t>
  </x:si>
  <x:si>
    <x:t xml:space="preserve">4006414</x:t>
  </x:si>
  <x:si>
    <x:t xml:space="preserve">MARCADOR "4"</x:t>
  </x:si>
  <x:si>
    <x:t xml:space="preserve">4004218</x:t>
  </x:si>
  <x:si>
    <x:t xml:space="preserve">MARCADOR "5"</x:t>
  </x:si>
  <x:si>
    <x:t xml:space="preserve">4004219</x:t>
  </x:si>
  <x:si>
    <x:t xml:space="preserve">MARCADOR "6"</x:t>
  </x:si>
  <x:si>
    <x:t xml:space="preserve">4004220</x:t>
  </x:si>
  <x:si>
    <x:t xml:space="preserve">MARCADOR "7"</x:t>
  </x:si>
  <x:si>
    <x:t xml:space="preserve">4004221</x:t>
  </x:si>
  <x:si>
    <x:t xml:space="preserve">MARCADOR "8"</x:t>
  </x:si>
  <x:si>
    <x:t xml:space="preserve">4004222</x:t>
  </x:si>
  <x:si>
    <x:t xml:space="preserve">MARCADOR "9"</x:t>
  </x:si>
  <x:si>
    <x:t xml:space="preserve">4004223</x:t>
  </x:si>
  <x:si>
    <x:t xml:space="preserve">MARCADOR "A"</x:t>
  </x:si>
  <x:si>
    <x:t xml:space="preserve">4004224</x:t>
  </x:si>
  <x:si>
    <x:t xml:space="preserve">MARCADOR "B"</x:t>
  </x:si>
  <x:si>
    <x:t xml:space="preserve">4004225</x:t>
  </x:si>
  <x:si>
    <x:t xml:space="preserve">MARCADOR "C"</x:t>
  </x:si>
  <x:si>
    <x:t xml:space="preserve">4004226</x:t>
  </x:si>
  <x:si>
    <x:t xml:space="preserve">MARCADOR "D"</x:t>
  </x:si>
  <x:si>
    <x:t xml:space="preserve">4004227</x:t>
  </x:si>
  <x:si>
    <x:t xml:space="preserve">MARCADOR "E"</x:t>
  </x:si>
  <x:si>
    <x:t xml:space="preserve">4004228</x:t>
  </x:si>
  <x:si>
    <x:t xml:space="preserve">MARCADOR "F"</x:t>
  </x:si>
  <x:si>
    <x:t xml:space="preserve">4004229</x:t>
  </x:si>
  <x:si>
    <x:t xml:space="preserve">MARCADOR "G"</x:t>
  </x:si>
  <x:si>
    <x:t xml:space="preserve">4004231</x:t>
  </x:si>
  <x:si>
    <x:t xml:space="preserve">MARCADOR "I"</x:t>
  </x:si>
  <x:si>
    <x:t xml:space="preserve">4004232</x:t>
  </x:si>
  <x:si>
    <x:t xml:space="preserve">MARCADOR "J"</x:t>
  </x:si>
  <x:si>
    <x:t xml:space="preserve">4004234</x:t>
  </x:si>
  <x:si>
    <x:t xml:space="preserve">MARCADOR "L"</x:t>
  </x:si>
  <x:si>
    <x:t xml:space="preserve">4004235</x:t>
  </x:si>
  <x:si>
    <x:t xml:space="preserve">MARCADOR "M"</x:t>
  </x:si>
  <x:si>
    <x:t xml:space="preserve">4004238</x:t>
  </x:si>
  <x:si>
    <x:t xml:space="preserve">MARCADOR "P"</x:t>
  </x:si>
  <x:si>
    <x:t xml:space="preserve">4004239</x:t>
  </x:si>
  <x:si>
    <x:t xml:space="preserve">MARCADOR "Q"</x:t>
  </x:si>
  <x:si>
    <x:t xml:space="preserve">4004240</x:t>
  </x:si>
  <x:si>
    <x:t xml:space="preserve">MARCADOR "R"</x:t>
  </x:si>
  <x:si>
    <x:t xml:space="preserve">4004241</x:t>
  </x:si>
  <x:si>
    <x:t xml:space="preserve">MARCADOR "S"</x:t>
  </x:si>
  <x:si>
    <x:t xml:space="preserve">4004242</x:t>
  </x:si>
  <x:si>
    <x:t xml:space="preserve">MARCADOR "T"</x:t>
  </x:si>
  <x:si>
    <x:t xml:space="preserve">4004243</x:t>
  </x:si>
  <x:si>
    <x:t xml:space="preserve">MARCADOR "U"</x:t>
  </x:si>
  <x:si>
    <x:t xml:space="preserve">4004244</x:t>
  </x:si>
  <x:si>
    <x:t xml:space="preserve">MARCADOR "V"</x:t>
  </x:si>
  <x:si>
    <x:t xml:space="preserve">4037906</x:t>
  </x:si>
  <x:si>
    <x:t xml:space="preserve">MOLDE KLK CC-L 70/70</x:t>
  </x:si>
  <x:si>
    <x:t xml:space="preserve">3000599</x:t>
  </x:si>
  <x:si>
    <x:t xml:space="preserve">MOSQUETAO SEGURANCA MEDIO</x:t>
  </x:si>
  <x:si>
    <x:t xml:space="preserve">5003918</x:t>
  </x:si>
  <x:si>
    <x:t xml:space="preserve">NIVEL DE 1 METRO</x:t>
  </x:si>
  <x:si>
    <x:t xml:space="preserve">4032317</x:t>
  </x:si>
  <x:si>
    <x:t xml:space="preserve">PARAFUSO GALV. M12X80/30</x:t>
  </x:si>
  <x:si>
    <x:t xml:space="preserve">4038591</x:t>
  </x:si>
  <x:si>
    <x:t xml:space="preserve">PARAFUSO M8X40/40 C/HU+ANILHA MOLA</x:t>
  </x:si>
  <x:si>
    <x:t xml:space="preserve">4046160</x:t>
  </x:si>
  <x:si>
    <x:t xml:space="preserve">PARAFUSO SEXT. M10X60 GQ </x:t>
  </x:si>
  <x:si>
    <x:t xml:space="preserve">4006307</x:t>
  </x:si>
  <x:si>
    <x:t xml:space="preserve">PARAFUSO SEXT. ZN M10X30</x:t>
  </x:si>
  <x:si>
    <x:t xml:space="preserve">4004312</x:t>
  </x:si>
  <x:si>
    <x:t xml:space="preserve">PARAFUSO SEXT. ZN M10X40</x:t>
  </x:si>
  <x:si>
    <x:t xml:space="preserve">4011575</x:t>
  </x:si>
  <x:si>
    <x:t xml:space="preserve">PARAFUSO SEXT. ZN M10X45</x:t>
  </x:si>
  <x:si>
    <x:t xml:space="preserve">4004336</x:t>
  </x:si>
  <x:si>
    <x:t xml:space="preserve">PARAFUSO SEXT. ZN M10X80</x:t>
  </x:si>
  <x:si>
    <x:t xml:space="preserve">4027442</x:t>
  </x:si>
  <x:si>
    <x:t xml:space="preserve">PARAFUSO SEXT. ZN M12X45</x:t>
  </x:si>
  <x:si>
    <x:t xml:space="preserve">4004337</x:t>
  </x:si>
  <x:si>
    <x:t xml:space="preserve">PARAFUSO SEXT. ZN M12X60</x:t>
  </x:si>
  <x:si>
    <x:t xml:space="preserve">4035101</x:t>
  </x:si>
  <x:si>
    <x:t xml:space="preserve">PASTA SELANTE KLK 0,9KG</x:t>
  </x:si>
  <x:si>
    <x:t xml:space="preserve">4037908</x:t>
  </x:si>
  <x:si>
    <x:t xml:space="preserve">PINCA KLK TSC 80</x:t>
  </x:si>
  <x:si>
    <x:t xml:space="preserve">4049186</x:t>
  </x:si>
  <x:si>
    <x:t xml:space="preserve">PLACA ATERRAMENTO CU 82X82/AÇO 16MM 90º</x:t>
  </x:si>
  <x:si>
    <x:t xml:space="preserve">5005589</x:t>
  </x:si>
  <x:si>
    <x:t xml:space="preserve">PONTEIRA PH 2</x:t>
  </x:si>
  <x:si>
    <x:t xml:space="preserve">4032390</x:t>
  </x:si>
  <x:si>
    <x:t xml:space="preserve">PORCA GALV. M20</x:t>
  </x:si>
  <x:si>
    <x:t xml:space="preserve">4032392</x:t>
  </x:si>
  <x:si>
    <x:t xml:space="preserve">PORCA GALV. M30</x:t>
  </x:si>
  <x:si>
    <x:t xml:space="preserve">4031416</x:t>
  </x:si>
  <x:si>
    <x:t xml:space="preserve">PORCA INOX M16</x:t>
  </x:si>
  <x:si>
    <x:t xml:space="preserve">4004403</x:t>
  </x:si>
  <x:si>
    <x:t xml:space="preserve">PORCA SEXT. ZN. M10</x:t>
  </x:si>
  <x:si>
    <x:t xml:space="preserve">4004400</x:t>
  </x:si>
  <x:si>
    <x:t xml:space="preserve">PORCA SEXT. ZN. M12</x:t>
  </x:si>
  <x:si>
    <x:t xml:space="preserve">5003096</x:t>
  </x:si>
  <x:si>
    <x:t xml:space="preserve">PORTA CHAVES C/ ETIQUETA</x:t>
  </x:si>
  <x:si>
    <x:t xml:space="preserve">4010640</x:t>
  </x:si>
  <x:si>
    <x:t xml:space="preserve">PORTA MARCADORES AT3 C/14 NUM. PRETO</x:t>
  </x:si>
  <x:si>
    <x:t xml:space="preserve">4037071</x:t>
  </x:si>
  <x:si>
    <x:t xml:space="preserve">PORTA-FUSIVEL</x:t>
  </x:si>
  <x:si>
    <x:t xml:space="preserve">4046102</x:t>
  </x:si>
  <x:si>
    <x:t xml:space="preserve">POSTE HE180A L=8,8M</x:t>
  </x:si>
  <x:si>
    <x:t xml:space="preserve">4026266</x:t>
  </x:si>
  <x:si>
    <x:t xml:space="preserve">POSTE HE180A L=9,20M</x:t>
  </x:si>
  <x:si>
    <x:t xml:space="preserve">4026267</x:t>
  </x:si>
  <x:si>
    <x:t xml:space="preserve">POSTE HE180A L=9,60M</x:t>
  </x:si>
  <x:si>
    <x:t xml:space="preserve">4026271</x:t>
  </x:si>
  <x:si>
    <x:t xml:space="preserve">POSTE HE200A L=10,00M</x:t>
  </x:si>
  <x:si>
    <x:t xml:space="preserve">4046103</x:t>
  </x:si>
  <x:si>
    <x:t xml:space="preserve">POSTE HE200A L=10,4M</x:t>
  </x:si>
  <x:si>
    <x:t xml:space="preserve">4046104</x:t>
  </x:si>
  <x:si>
    <x:t xml:space="preserve">POSTE HE200A L=10,8M</x:t>
  </x:si>
  <x:si>
    <x:t xml:space="preserve">4046105</x:t>
  </x:si>
  <x:si>
    <x:t xml:space="preserve">POSTE HE200A L=11,2M</x:t>
  </x:si>
  <x:si>
    <x:t xml:space="preserve">4046106</x:t>
  </x:si>
  <x:si>
    <x:t xml:space="preserve">POSTE HE200A L=8,8M</x:t>
  </x:si>
  <x:si>
    <x:t xml:space="preserve">4026269</x:t>
  </x:si>
  <x:si>
    <x:t xml:space="preserve">POSTE HE200A L=9,20M</x:t>
  </x:si>
  <x:si>
    <x:t xml:space="preserve">4026270</x:t>
  </x:si>
  <x:si>
    <x:t xml:space="preserve">POSTE HE200A L=9,60M</x:t>
  </x:si>
  <x:si>
    <x:t xml:space="preserve">4036356</x:t>
  </x:si>
  <x:si>
    <x:t xml:space="preserve">POSTE HE220B COM 9,20M</x:t>
  </x:si>
  <x:si>
    <x:t xml:space="preserve">4026276</x:t>
  </x:si>
  <x:si>
    <x:t xml:space="preserve">POSTE HE220B L=10,00M</x:t>
  </x:si>
  <x:si>
    <x:t xml:space="preserve">4046111</x:t>
  </x:si>
  <x:si>
    <x:t xml:space="preserve">POSTE HE220B L=10,4M</x:t>
  </x:si>
  <x:si>
    <x:t xml:space="preserve">4026275</x:t>
  </x:si>
  <x:si>
    <x:t xml:space="preserve">POSTE HE220B L=9,60M</x:t>
  </x:si>
  <x:si>
    <x:t xml:space="preserve">4046112</x:t>
  </x:si>
  <x:si>
    <x:t xml:space="preserve">POSTE HE240A L=3,8M</x:t>
  </x:si>
  <x:si>
    <x:t xml:space="preserve">4036360</x:t>
  </x:si>
  <x:si>
    <x:t xml:space="preserve">POSTE HE240B COM 10,00M</x:t>
  </x:si>
  <x:si>
    <x:t xml:space="preserve">4036357</x:t>
  </x:si>
  <x:si>
    <x:t xml:space="preserve">POSTE HE240B COM 10,40M</x:t>
  </x:si>
  <x:si>
    <x:t xml:space="preserve">4046107</x:t>
  </x:si>
  <x:si>
    <x:t xml:space="preserve">POSTE HE260A L=10,8M</x:t>
  </x:si>
  <x:si>
    <x:t xml:space="preserve">4046108</x:t>
  </x:si>
  <x:si>
    <x:t xml:space="preserve">POSTE HE280A L=11,2M</x:t>
  </x:si>
  <x:si>
    <x:t xml:space="preserve">4026283</x:t>
  </x:si>
  <x:si>
    <x:t xml:space="preserve">POSTE HE280A L=11,60M</x:t>
  </x:si>
  <x:si>
    <x:t xml:space="preserve">4046109</x:t>
  </x:si>
  <x:si>
    <x:t xml:space="preserve">POSTE HE300A L=10,8M</x:t>
  </x:si>
  <x:si>
    <x:t xml:space="preserve">4046110</x:t>
  </x:si>
  <x:si>
    <x:t xml:space="preserve">POSTE HE300A L=11,2M</x:t>
  </x:si>
  <x:si>
    <x:t xml:space="preserve">4004491</x:t>
  </x:si>
  <x:si>
    <x:t xml:space="preserve">SERRA CABOS 6MM</x:t>
  </x:si>
  <x:si>
    <x:t xml:space="preserve">5005185</x:t>
  </x:si>
  <x:si>
    <x:t xml:space="preserve">SERRA CRANEANA</x:t>
  </x:si>
  <x:si>
    <x:t xml:space="preserve">5000437</x:t>
  </x:si>
  <x:si>
    <x:t xml:space="preserve">SPRAY LUBRIFICANTE WD40</x:t>
  </x:si>
  <x:si>
    <x:t xml:space="preserve">5000100</x:t>
  </x:si>
  <x:si>
    <x:t xml:space="preserve">SPRAYS ZINCO BRILHANTE</x:t>
  </x:si>
  <x:si>
    <x:t xml:space="preserve">4049187</x:t>
  </x:si>
  <x:si>
    <x:t xml:space="preserve">TERMINAL BIMET. CU-AL 50-F12</x:t>
  </x:si>
  <x:si>
    <x:t xml:space="preserve">4049188</x:t>
  </x:si>
  <x:si>
    <x:t xml:space="preserve">TERMINAL BIMET. CU-AL 70-F12</x:t>
  </x:si>
  <x:si>
    <x:t xml:space="preserve">4049189</x:t>
  </x:si>
  <x:si>
    <x:t xml:space="preserve">TERMINAL BIMET. CU-AL 95-F12</x:t>
  </x:si>
  <x:si>
    <x:t xml:space="preserve">4026291</x:t>
  </x:si>
  <x:si>
    <x:t xml:space="preserve">TRANSFORMADOR TENSAO (EC-23</x:t>
  </x:si>
  <x:si>
    <x:t xml:space="preserve">4001553</x:t>
  </x:si>
  <x:si>
    <x:t xml:space="preserve">TUBO FERRO GALVANIZADO 1'</x:t>
  </x:si>
  <x:si>
    <x:t xml:space="preserve">4011998</x:t>
  </x:si>
  <x:si>
    <x:t xml:space="preserve">TUBO GALVANIZADO 2''1/2''</x:t>
  </x:si>
  <x:si>
    <x:t xml:space="preserve">4011997</x:t>
  </x:si>
  <x:si>
    <x:t xml:space="preserve">TUBO GALVANIZADO 3''</x:t>
  </x:si>
  <x:si>
    <x:t xml:space="preserve">4014378</x:t>
  </x:si>
  <x:si>
    <x:t xml:space="preserve">TUBO HIDROFLEX 3/4''</x:t>
  </x:si>
  <x:si>
    <x:t xml:space="preserve">4046037</x:t>
  </x:si>
  <x:si>
    <x:t xml:space="preserve">TUBO PEAD PN10 DN110 VARA</x:t>
  </x:si>
  <x:si>
    <x:t xml:space="preserve">4004766</x:t>
  </x:si>
  <x:si>
    <x:t xml:space="preserve">UNIAO P/ ELECTRODO TERRA</x:t>
  </x:si>
  <x:si>
    <x:t xml:space="preserve">4036833</x:t>
  </x:si>
  <x:si>
    <x:t xml:space="preserve">UNIAO RESINA</x:t>
  </x:si>
  <x:si>
    <x:t xml:space="preserve">4045435</x:t>
  </x:si>
  <x:si>
    <x:t xml:space="preserve">UNIAO VD 110MM CR</x:t>
  </x:si>
</x:sst>
</file>

<file path=xl/styles.xml><?xml version="1.0" encoding="utf-8"?>
<x:styleSheet xmlns:x="http://schemas.openxmlformats.org/spreadsheetml/2006/main">
  <x:numFmts count="2">
    <x:numFmt numFmtId="164" formatCode="#,##0.000"/>
    <x:numFmt numFmtId="165" formatCode="#,##0.00\ &quot;€&quot;"/>
  </x:numFmts>
  <x:fonts count="1"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0">
    <x:xf numFmtId="0" fontId="0" fillId="0" borderId="0" xfId="0" applyAlignment="1">
      <x:alignment vertical="top"/>
    </x:xf>
    <x:xf numFmtId="0" fontId="0" fillId="0" borderId="1" xfId="0" applyFill="1" applyBorder="1" applyAlignment="1">
      <x:alignment vertical="top"/>
    </x:xf>
    <x:xf numFmtId="0" fontId="0" fillId="0" borderId="0" xfId="0" applyFill="1" applyAlignment="1">
      <x:alignment vertical="top"/>
    </x:xf>
    <x:xf numFmtId="164" fontId="0" fillId="0" borderId="0" xfId="0" applyNumberFormat="1" applyFill="1" applyAlignment="1">
      <x:alignment horizontal="right" vertical="top"/>
    </x:xf>
    <x:xf numFmtId="3" fontId="0" fillId="0" borderId="0" xfId="0" applyNumberFormat="1" applyFill="1" applyAlignment="1">
      <x:alignment horizontal="right" vertical="top"/>
    </x:xf>
    <x:xf numFmtId="164" fontId="0" fillId="0" borderId="0" xfId="0" applyNumberFormat="1" applyFill="1" applyAlignment="1">
      <x:alignment vertical="top"/>
    </x:xf>
    <x:xf numFmtId="165" fontId="0" fillId="0" borderId="1" xfId="0" applyNumberFormat="1" applyFill="1" applyBorder="1" applyAlignment="1">
      <x:alignment vertical="top"/>
    </x:xf>
    <x:xf numFmtId="165" fontId="0" fillId="0" borderId="0" xfId="0" applyNumberFormat="1" applyFill="1" applyAlignment="1">
      <x:alignment horizontal="right" vertical="top"/>
    </x:xf>
    <x:xf numFmtId="165" fontId="0" fillId="0" borderId="0" xfId="0" applyNumberFormat="1" applyAlignment="1">
      <x:alignment vertical="top"/>
    </x:xf>
    <x:xf numFmtId="165" fontId="0" fillId="0" borderId="0" xfId="0" applyNumberFormat="1" applyFill="1" applyAlignment="1">
      <x:alignment vertical="top"/>
    </x:xf>
  </x:cellXfs>
  <x:cellStyles count="1">
    <x:cellStyle name="Normal" xfId="0"/>
  </x:cellStyles>
  <x:dxfs count="14">
    <x:dxf>
      <x:numFmt numFmtId="165" formatCode="#,##0.00\ &quot;€&quot;"/>
      <x:fill>
        <x:patternFill patternType="solid">
          <x:bgColor auto="1"/>
        </x:patternFill>
      </x:fill>
    </x:dxf>
    <x:dxf>
      <x:numFmt numFmtId="164" formatCode="#,##0.000"/>
      <x:fill>
        <x:patternFill patternType="solid">
          <x:bgColor auto="1"/>
        </x:patternFill>
      </x:fill>
    </x:dxf>
    <x:dxf>
      <x:numFmt numFmtId="165" formatCode="#,##0.00\ &quot;€&quot;"/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numFmt numFmtId="164" formatCode="#,##0.000"/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5882c12f547f5" /><Relationship Type="http://schemas.openxmlformats.org/officeDocument/2006/relationships/theme" Target="/xl/theme/theme1.xml" Id="R9fa92f807abd4b13" /><Relationship Type="http://schemas.openxmlformats.org/officeDocument/2006/relationships/sharedStrings" Target="/xl/sharedStrings.xml" Id="R97d57caefe6742fa" /><Relationship Type="http://schemas.openxmlformats.org/officeDocument/2006/relationships/worksheet" Target="/xl/worksheets/sheet1.xml" Id="Re7e2b75e3a7e44d9" /></Relationships>
</file>

<file path=xl/tables/table1.xml><?xml version="1.0" encoding="utf-8"?>
<x:table xmlns:x="http://schemas.openxmlformats.org/spreadsheetml/2006/main" id="1" name="Tabela1" displayName="Tabela1" ref="A1:L442" totalsRowShown="0" dataDxfId="3">
  <x:autoFilter ref="A1:L442"/>
  <x:tableColumns count="12">
    <x:tableColumn id="1" name="Material" dataDxfId="13"/>
    <x:tableColumn id="2" name="Texto breve material" dataDxfId="12"/>
    <x:tableColumn id="3" name="Lote" dataDxfId="11"/>
    <x:tableColumn id="4" name="Centro" dataDxfId="10"/>
    <x:tableColumn id="5" name="Depósito" dataDxfId="9"/>
    <x:tableColumn id="6" name="Elemento PEP" dataDxfId="8"/>
    <x:tableColumn id="7" name="Estoque total" dataDxfId="7"/>
    <x:tableColumn id="8" name="UM básica" dataDxfId="6"/>
    <x:tableColumn id="9" name="Valor total" dataDxfId="2"/>
    <x:tableColumn id="10" name="Consumo" dataDxfId="5"/>
    <x:tableColumn id="11" name="Stock" dataDxfId="1">
      <x:calculatedColumnFormula>Tabela1[[#This Row],[Estoque total]]-Tabela1[[#This Row],[Consumo]]</x:calculatedColumnFormula>
    </x:tableColumn>
    <x:tableColumn id="12" name="Consumo2" dataDxfId="0">
      <x:calculatedColumnFormula>(Tabela1[[#This Row],[Valor total]]/Tabela1[[#This Row],[Estoque total]])*Tabela1[[#This Row],[Consumo]]</x:calculatedColumnFormula>
    </x:tableColumn>
  </x:tableColumns>
  <x:tableStyleInfo name="TableStyleMedium12" showFirstColumn="0" showLastColumn="0" showRowStripes="1" showColumnStripes="0"/>
</x: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cb20eca20a462e" /></Relationships>
</file>

<file path=xl/worksheets/sheet1.xml><?xml version="1.0" encoding="utf-8"?>
<x:worksheet xmlns:x="http://schemas.openxmlformats.org/spreadsheetml/2006/main">
  <x:sheetFormatPr defaultRowHeight="12.449999809265137"/>
  <x:cols>
    <x:col min="1" max="1" width="10.125" customWidth="1"/>
    <x:col min="2" max="2" width="42" customWidth="1"/>
    <x:col min="3" max="3" width="12" customWidth="1"/>
    <x:col min="4" max="4" width="9.125" customWidth="1"/>
    <x:col min="5" max="5" width="11" customWidth="1"/>
    <x:col min="6" max="6" width="15.625" customWidth="1"/>
    <x:col min="7" max="7" width="15" customWidth="1"/>
    <x:col min="8" max="8" width="12.125" customWidth="1"/>
    <x:col min="9" max="9" width="13" style="8" customWidth="1"/>
    <x:col min="10" max="10" width="11.375" customWidth="1"/>
    <x:col min="12" max="12" width="12.3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6" t="s">
        <x:v>8</x:v>
      </x:c>
      <x:c r="J1" s="2" t="s">
        <x:v>9</x:v>
      </x:c>
      <x:c r="K1" s="2" t="s">
        <x:v>10</x:v>
      </x:c>
      <x:c r="L1" s="2" t="s">
        <x:v>11</x:v>
      </x:c>
    </x:row>
    <x:row r="2">
      <x:c r="A2" s="2" t="s">
        <x:v>12</x:v>
      </x:c>
      <x:c r="B2" s="2" t="s">
        <x:v>13</x:v>
      </x:c>
      <x:c r="C2" s="2" t="s">
        <x:v>14</x:v>
      </x:c>
      <x:c r="D2" s="2" t="s">
        <x:v>15</x:v>
      </x:c>
      <x:c r="E2" s="2" t="s">
        <x:v>16</x:v>
      </x:c>
      <x:c r="F2" s="2" t="s">
        <x:v>17</x:v>
      </x:c>
      <x:c r="G2" s="3">
        <x:v>64</x:v>
      </x:c>
      <x:c r="H2" s="2" t="s">
        <x:v>18</x:v>
      </x:c>
      <x:c r="I2" s="7">
        <x:v>497.28</x:v>
      </x:c>
      <x:c r="J2" s="2"/>
      <x:c r="K2" s="5" t="e">
        <x:f>Tabela1[[#This Row],[Estoque total]]-Tabela1[[#This Row],[Consumo]]</x:f>
        <x:v>#VALUE!</x:v>
      </x:c>
      <x:c r="L2" s="9" t="e">
        <x:f>(Tabela1[[#This Row],[Valor total]]/Tabela1[[#This Row],[Estoque total]])*Tabela1[[#This Row],[Consumo]]</x:f>
        <x:v>#VALUE!</x:v>
      </x:c>
    </x:row>
    <x:row r="3">
      <x:c r="A3" s="2" t="s">
        <x:v>19</x:v>
      </x:c>
      <x:c r="B3" s="2" t="s">
        <x:v>20</x:v>
      </x:c>
      <x:c r="C3" s="2" t="s">
        <x:v>14</x:v>
      </x:c>
      <x:c r="D3" s="2" t="s">
        <x:v>15</x:v>
      </x:c>
      <x:c r="E3" s="2" t="s">
        <x:v>16</x:v>
      </x:c>
      <x:c r="F3" s="2" t="s">
        <x:v>17</x:v>
      </x:c>
      <x:c r="G3" s="3">
        <x:v>252</x:v>
      </x:c>
      <x:c r="H3" s="2" t="s">
        <x:v>18</x:v>
      </x:c>
      <x:c r="I3" s="7">
        <x:v>900.33</x:v>
      </x:c>
      <x:c r="J3" s="2" t="n">
        <x:v>44</x:v>
      </x:c>
      <x:c r="K3" s="5" t="n">
        <x:f>Tabela1[[#This Row],[Estoque total]]-Tabela1[[#This Row],[Consumo]]</x:f>
        <x:v>208</x:v>
      </x:c>
      <x:c r="L3" s="9" t="n">
        <x:f>(Tabela1[[#This Row],[Valor total]]/Tabela1[[#This Row],[Estoque total]])*Tabela1[[#This Row],[Consumo]]</x:f>
        <x:v>157.2004761904762</x:v>
      </x:c>
    </x:row>
    <x:row r="4">
      <x:c r="A4" s="2" t="s">
        <x:v>21</x:v>
      </x:c>
      <x:c r="B4" s="2" t="s">
        <x:v>22</x:v>
      </x:c>
      <x:c r="C4" s="2" t="s">
        <x:v>14</x:v>
      </x:c>
      <x:c r="D4" s="2" t="s">
        <x:v>15</x:v>
      </x:c>
      <x:c r="E4" s="2" t="s">
        <x:v>16</x:v>
      </x:c>
      <x:c r="F4" s="2" t="s">
        <x:v>17</x:v>
      </x:c>
      <x:c r="G4" s="3">
        <x:v>39</x:v>
      </x:c>
      <x:c r="H4" s="2" t="s">
        <x:v>18</x:v>
      </x:c>
      <x:c r="I4" s="7">
        <x:v>768.3</x:v>
      </x:c>
      <x:c r="J4" s="2"/>
      <x:c r="K4" s="5" t="e">
        <x:f>Tabela1[[#This Row],[Estoque total]]-Tabela1[[#This Row],[Consumo]]</x:f>
        <x:v>#VALUE!</x:v>
      </x:c>
      <x:c r="L4" s="9" t="e">
        <x:f>(Tabela1[[#This Row],[Valor total]]/Tabela1[[#This Row],[Estoque total]])*Tabela1[[#This Row],[Consumo]]</x:f>
        <x:v>#VALUE!</x:v>
      </x:c>
    </x:row>
    <x:row r="5">
      <x:c r="A5" s="2" t="s">
        <x:v>23</x:v>
      </x:c>
      <x:c r="B5" s="2" t="s">
        <x:v>24</x:v>
      </x:c>
      <x:c r="C5" s="2" t="s">
        <x:v>14</x:v>
      </x:c>
      <x:c r="D5" s="2" t="s">
        <x:v>15</x:v>
      </x:c>
      <x:c r="E5" s="2" t="s">
        <x:v>16</x:v>
      </x:c>
      <x:c r="F5" s="2" t="s">
        <x:v>17</x:v>
      </x:c>
      <x:c r="G5" s="3">
        <x:v>304</x:v>
      </x:c>
      <x:c r="H5" s="2" t="s">
        <x:v>18</x:v>
      </x:c>
      <x:c r="I5" s="7">
        <x:v>7417.6</x:v>
      </x:c>
      <x:c r="J5" s="2"/>
      <x:c r="K5" s="5" t="e">
        <x:f>Tabela1[[#This Row],[Estoque total]]-Tabela1[[#This Row],[Consumo]]</x:f>
        <x:v>#VALUE!</x:v>
      </x:c>
      <x:c r="L5" s="9" t="e">
        <x:f>(Tabela1[[#This Row],[Valor total]]/Tabela1[[#This Row],[Estoque total]])*Tabela1[[#This Row],[Consumo]]</x:f>
        <x:v>#VALUE!</x:v>
      </x:c>
    </x:row>
    <x:row r="6">
      <x:c r="A6" s="2" t="s">
        <x:v>25</x:v>
      </x:c>
      <x:c r="B6" s="2" t="s">
        <x:v>26</x:v>
      </x:c>
      <x:c r="C6" s="2" t="s">
        <x:v>14</x:v>
      </x:c>
      <x:c r="D6" s="2" t="s">
        <x:v>15</x:v>
      </x:c>
      <x:c r="E6" s="2" t="s">
        <x:v>16</x:v>
      </x:c>
      <x:c r="F6" s="2" t="s">
        <x:v>17</x:v>
      </x:c>
      <x:c r="G6" s="3">
        <x:v>65</x:v>
      </x:c>
      <x:c r="H6" s="2" t="s">
        <x:v>18</x:v>
      </x:c>
      <x:c r="I6" s="7">
        <x:v>2736.5</x:v>
      </x:c>
      <x:c r="J6" s="2" t="n">
        <x:v>12</x:v>
      </x:c>
      <x:c r="K6" s="5" t="n">
        <x:f>Tabela1[[#This Row],[Estoque total]]-Tabela1[[#This Row],[Consumo]]</x:f>
        <x:v>53</x:v>
      </x:c>
      <x:c r="L6" s="9" t="n">
        <x:f>(Tabela1[[#This Row],[Valor total]]/Tabela1[[#This Row],[Estoque total]])*Tabela1[[#This Row],[Consumo]]</x:f>
        <x:v>505.20000000000005</x:v>
      </x:c>
    </x:row>
    <x:row r="7">
      <x:c r="A7" s="2" t="s">
        <x:v>27</x:v>
      </x:c>
      <x:c r="B7" s="2" t="s">
        <x:v>28</x:v>
      </x:c>
      <x:c r="C7" s="2" t="s">
        <x:v>14</x:v>
      </x:c>
      <x:c r="D7" s="2" t="s">
        <x:v>15</x:v>
      </x:c>
      <x:c r="E7" s="2" t="s">
        <x:v>16</x:v>
      </x:c>
      <x:c r="F7" s="2" t="s">
        <x:v>17</x:v>
      </x:c>
      <x:c r="G7" s="3">
        <x:v>1</x:v>
      </x:c>
      <x:c r="H7" s="2" t="s">
        <x:v>18</x:v>
      </x:c>
      <x:c r="I7" s="7">
        <x:v>61.82</x:v>
      </x:c>
      <x:c r="J7" s="2"/>
      <x:c r="K7" s="5" t="e">
        <x:f>Tabela1[[#This Row],[Estoque total]]-Tabela1[[#This Row],[Consumo]]</x:f>
        <x:v>#VALUE!</x:v>
      </x:c>
      <x:c r="L7" s="9" t="e">
        <x:f>(Tabela1[[#This Row],[Valor total]]/Tabela1[[#This Row],[Estoque total]])*Tabela1[[#This Row],[Consumo]]</x:f>
        <x:v>#VALUE!</x:v>
      </x:c>
    </x:row>
    <x:row r="8">
      <x:c r="A8" s="2" t="s">
        <x:v>29</x:v>
      </x:c>
      <x:c r="B8" s="2" t="s">
        <x:v>30</x:v>
      </x:c>
      <x:c r="C8" s="2" t="s">
        <x:v>14</x:v>
      </x:c>
      <x:c r="D8" s="2" t="s">
        <x:v>15</x:v>
      </x:c>
      <x:c r="E8" s="2" t="s">
        <x:v>16</x:v>
      </x:c>
      <x:c r="F8" s="2" t="s">
        <x:v>31</x:v>
      </x:c>
      <x:c r="G8" s="3">
        <x:v>2</x:v>
      </x:c>
      <x:c r="H8" s="2" t="s">
        <x:v>18</x:v>
      </x:c>
      <x:c r="I8" s="7">
        <x:v>35.700000000000003</x:v>
      </x:c>
      <x:c r="J8" s="2"/>
      <x:c r="K8" s="5" t="e">
        <x:f>Tabela1[[#This Row],[Estoque total]]-Tabela1[[#This Row],[Consumo]]</x:f>
        <x:v>#VALUE!</x:v>
      </x:c>
      <x:c r="L8" s="9" t="e">
        <x:f>(Tabela1[[#This Row],[Valor total]]/Tabela1[[#This Row],[Estoque total]])*Tabela1[[#This Row],[Consumo]]</x:f>
        <x:v>#VALUE!</x:v>
      </x:c>
    </x:row>
    <x:row r="9">
      <x:c r="A9" s="2" t="s">
        <x:v>29</x:v>
      </x:c>
      <x:c r="B9" s="2" t="s">
        <x:v>30</x:v>
      </x:c>
      <x:c r="C9" s="2" t="s">
        <x:v>14</x:v>
      </x:c>
      <x:c r="D9" s="2" t="s">
        <x:v>15</x:v>
      </x:c>
      <x:c r="E9" s="2" t="s">
        <x:v>16</x:v>
      </x:c>
      <x:c r="F9" s="2" t="s">
        <x:v>17</x:v>
      </x:c>
      <x:c r="G9" s="3">
        <x:v>134</x:v>
      </x:c>
      <x:c r="H9" s="2" t="s">
        <x:v>18</x:v>
      </x:c>
      <x:c r="I9" s="7">
        <x:v>2010</x:v>
      </x:c>
      <x:c r="J9" s="2"/>
      <x:c r="K9" s="5" t="e">
        <x:f>Tabela1[[#This Row],[Estoque total]]-Tabela1[[#This Row],[Consumo]]</x:f>
        <x:v>#VALUE!</x:v>
      </x:c>
      <x:c r="L9" s="9" t="e">
        <x:f>(Tabela1[[#This Row],[Valor total]]/Tabela1[[#This Row],[Estoque total]])*Tabela1[[#This Row],[Consumo]]</x:f>
        <x:v>#VALUE!</x:v>
      </x:c>
    </x:row>
    <x:row r="10">
      <x:c r="A10" s="2" t="s">
        <x:v>32</x:v>
      </x:c>
      <x:c r="B10" s="2" t="s">
        <x:v>33</x:v>
      </x:c>
      <x:c r="C10" s="2" t="s">
        <x:v>14</x:v>
      </x:c>
      <x:c r="D10" s="2" t="s">
        <x:v>15</x:v>
      </x:c>
      <x:c r="E10" s="2" t="s">
        <x:v>16</x:v>
      </x:c>
      <x:c r="F10" s="2" t="s">
        <x:v>17</x:v>
      </x:c>
      <x:c r="G10" s="3">
        <x:v>15</x:v>
      </x:c>
      <x:c r="H10" s="2" t="s">
        <x:v>18</x:v>
      </x:c>
      <x:c r="I10" s="7">
        <x:v>501</x:v>
      </x:c>
      <x:c r="J10" s="2"/>
      <x:c r="K10" s="5" t="e">
        <x:f>Tabela1[[#This Row],[Estoque total]]-Tabela1[[#This Row],[Consumo]]</x:f>
        <x:v>#VALUE!</x:v>
      </x:c>
      <x:c r="L10" s="9" t="e">
        <x:f>(Tabela1[[#This Row],[Valor total]]/Tabela1[[#This Row],[Estoque total]])*Tabela1[[#This Row],[Consumo]]</x:f>
        <x:v>#VALUE!</x:v>
      </x:c>
    </x:row>
    <x:row r="11">
      <x:c r="A11" s="2" t="s">
        <x:v>34</x:v>
      </x:c>
      <x:c r="B11" s="2" t="s">
        <x:v>35</x:v>
      </x:c>
      <x:c r="C11" s="2" t="s">
        <x:v>14</x:v>
      </x:c>
      <x:c r="D11" s="2" t="s">
        <x:v>15</x:v>
      </x:c>
      <x:c r="E11" s="2" t="s">
        <x:v>16</x:v>
      </x:c>
      <x:c r="F11" s="2" t="s">
        <x:v>17</x:v>
      </x:c>
      <x:c r="G11" s="3">
        <x:v>32</x:v>
      </x:c>
      <x:c r="H11" s="2" t="s">
        <x:v>18</x:v>
      </x:c>
      <x:c r="I11" s="7">
        <x:v>1112.0999999999999</x:v>
      </x:c>
      <x:c r="J11" s="2"/>
      <x:c r="K11" s="5" t="e">
        <x:f>Tabela1[[#This Row],[Estoque total]]-Tabela1[[#This Row],[Consumo]]</x:f>
        <x:v>#VALUE!</x:v>
      </x:c>
      <x:c r="L11" s="9" t="e">
        <x:f>(Tabela1[[#This Row],[Valor total]]/Tabela1[[#This Row],[Estoque total]])*Tabela1[[#This Row],[Consumo]]</x:f>
        <x:v>#VALUE!</x:v>
      </x:c>
    </x:row>
    <x:row r="12">
      <x:c r="A12" s="2" t="s">
        <x:v>36</x:v>
      </x:c>
      <x:c r="B12" s="2" t="s">
        <x:v>37</x:v>
      </x:c>
      <x:c r="C12" s="2" t="s">
        <x:v>14</x:v>
      </x:c>
      <x:c r="D12" s="2" t="s">
        <x:v>15</x:v>
      </x:c>
      <x:c r="E12" s="2" t="s">
        <x:v>16</x:v>
      </x:c>
      <x:c r="F12" s="2" t="s">
        <x:v>17</x:v>
      </x:c>
      <x:c r="G12" s="3">
        <x:v>8</x:v>
      </x:c>
      <x:c r="H12" s="2" t="s">
        <x:v>18</x:v>
      </x:c>
      <x:c r="I12" s="7">
        <x:v>62.56</x:v>
      </x:c>
      <x:c r="J12" s="2"/>
      <x:c r="K12" s="5" t="e">
        <x:f>Tabela1[[#This Row],[Estoque total]]-Tabela1[[#This Row],[Consumo]]</x:f>
        <x:v>#VALUE!</x:v>
      </x:c>
      <x:c r="L12" s="9" t="e">
        <x:f>(Tabela1[[#This Row],[Valor total]]/Tabela1[[#This Row],[Estoque total]])*Tabela1[[#This Row],[Consumo]]</x:f>
        <x:v>#VALUE!</x:v>
      </x:c>
    </x:row>
    <x:row r="13">
      <x:c r="A13" s="2" t="s">
        <x:v>38</x:v>
      </x:c>
      <x:c r="B13" s="2" t="s">
        <x:v>39</x:v>
      </x:c>
      <x:c r="C13" s="2" t="s">
        <x:v>14</x:v>
      </x:c>
      <x:c r="D13" s="2" t="s">
        <x:v>15</x:v>
      </x:c>
      <x:c r="E13" s="2" t="s">
        <x:v>16</x:v>
      </x:c>
      <x:c r="F13" s="2" t="s">
        <x:v>17</x:v>
      </x:c>
      <x:c r="G13" s="3">
        <x:v>4</x:v>
      </x:c>
      <x:c r="H13" s="2" t="s">
        <x:v>18</x:v>
      </x:c>
      <x:c r="I13" s="7">
        <x:v>60.84</x:v>
      </x:c>
      <x:c r="J13" s="2"/>
      <x:c r="K13" s="5" t="e">
        <x:f>Tabela1[[#This Row],[Estoque total]]-Tabela1[[#This Row],[Consumo]]</x:f>
        <x:v>#VALUE!</x:v>
      </x:c>
      <x:c r="L13" s="9" t="e">
        <x:f>(Tabela1[[#This Row],[Valor total]]/Tabela1[[#This Row],[Estoque total]])*Tabela1[[#This Row],[Consumo]]</x:f>
        <x:v>#VALUE!</x:v>
      </x:c>
    </x:row>
    <x:row r="14">
      <x:c r="A14" s="2" t="s">
        <x:v>40</x:v>
      </x:c>
      <x:c r="B14" s="2" t="s">
        <x:v>41</x:v>
      </x:c>
      <x:c r="C14" s="2" t="s">
        <x:v>14</x:v>
      </x:c>
      <x:c r="D14" s="2" t="s">
        <x:v>15</x:v>
      </x:c>
      <x:c r="E14" s="2" t="s">
        <x:v>16</x:v>
      </x:c>
      <x:c r="F14" s="2" t="s">
        <x:v>17</x:v>
      </x:c>
      <x:c r="G14" s="3">
        <x:v>29</x:v>
      </x:c>
      <x:c r="H14" s="2" t="s">
        <x:v>18</x:v>
      </x:c>
      <x:c r="I14" s="7">
        <x:v>217.5</x:v>
      </x:c>
      <x:c r="J14" s="2"/>
      <x:c r="K14" s="5" t="e">
        <x:f>Tabela1[[#This Row],[Estoque total]]-Tabela1[[#This Row],[Consumo]]</x:f>
        <x:v>#VALUE!</x:v>
      </x:c>
      <x:c r="L14" s="9" t="e">
        <x:f>(Tabela1[[#This Row],[Valor total]]/Tabela1[[#This Row],[Estoque total]])*Tabela1[[#This Row],[Consumo]]</x:f>
        <x:v>#VALUE!</x:v>
      </x:c>
    </x:row>
    <x:row r="15">
      <x:c r="A15" s="2" t="s">
        <x:v>42</x:v>
      </x:c>
      <x:c r="B15" s="2" t="s">
        <x:v>43</x:v>
      </x:c>
      <x:c r="C15" s="2" t="s">
        <x:v>14</x:v>
      </x:c>
      <x:c r="D15" s="2" t="s">
        <x:v>15</x:v>
      </x:c>
      <x:c r="E15" s="2" t="s">
        <x:v>16</x:v>
      </x:c>
      <x:c r="F15" s="2" t="s">
        <x:v>17</x:v>
      </x:c>
      <x:c r="G15" s="3">
        <x:v>1183.1500000000001</x:v>
      </x:c>
      <x:c r="H15" s="2" t="s">
        <x:v>18</x:v>
      </x:c>
      <x:c r="I15" s="7">
        <x:v>7827.92</x:v>
      </x:c>
      <x:c r="J15" s="2"/>
      <x:c r="K15" s="5" t="e">
        <x:f>Tabela1[[#This Row],[Estoque total]]-Tabela1[[#This Row],[Consumo]]</x:f>
        <x:v>#VALUE!</x:v>
      </x:c>
      <x:c r="L15" s="9" t="e">
        <x:f>(Tabela1[[#This Row],[Valor total]]/Tabela1[[#This Row],[Estoque total]])*Tabela1[[#This Row],[Consumo]]</x:f>
        <x:v>#VALUE!</x:v>
      </x:c>
    </x:row>
    <x:row r="16">
      <x:c r="A16" s="2" t="s">
        <x:v>44</x:v>
      </x:c>
      <x:c r="B16" s="2" t="s">
        <x:v>45</x:v>
      </x:c>
      <x:c r="C16" s="2" t="s">
        <x:v>14</x:v>
      </x:c>
      <x:c r="D16" s="2" t="s">
        <x:v>15</x:v>
      </x:c>
      <x:c r="E16" s="2" t="s">
        <x:v>16</x:v>
      </x:c>
      <x:c r="F16" s="2" t="s">
        <x:v>17</x:v>
      </x:c>
      <x:c r="G16" s="3">
        <x:v>739</x:v>
      </x:c>
      <x:c r="H16" s="2" t="s">
        <x:v>18</x:v>
      </x:c>
      <x:c r="I16" s="7">
        <x:v>6935.72</x:v>
      </x:c>
      <x:c r="J16" s="2"/>
      <x:c r="K16" s="5" t="e">
        <x:f>Tabela1[[#This Row],[Estoque total]]-Tabela1[[#This Row],[Consumo]]</x:f>
        <x:v>#VALUE!</x:v>
      </x:c>
      <x:c r="L16" s="9" t="e">
        <x:f>(Tabela1[[#This Row],[Valor total]]/Tabela1[[#This Row],[Estoque total]])*Tabela1[[#This Row],[Consumo]]</x:f>
        <x:v>#VALUE!</x:v>
      </x:c>
    </x:row>
    <x:row r="17">
      <x:c r="A17" s="2" t="s">
        <x:v>46</x:v>
      </x:c>
      <x:c r="B17" s="2" t="s">
        <x:v>47</x:v>
      </x:c>
      <x:c r="C17" s="2" t="s">
        <x:v>14</x:v>
      </x:c>
      <x:c r="D17" s="2" t="s">
        <x:v>15</x:v>
      </x:c>
      <x:c r="E17" s="2" t="s">
        <x:v>16</x:v>
      </x:c>
      <x:c r="F17" s="2" t="s">
        <x:v>31</x:v>
      </x:c>
      <x:c r="G17" s="3">
        <x:v>48</x:v>
      </x:c>
      <x:c r="H17" s="2" t="s">
        <x:v>18</x:v>
      </x:c>
      <x:c r="I17" s="7">
        <x:v>716.64</x:v>
      </x:c>
      <x:c r="J17" s="2"/>
      <x:c r="K17" s="5" t="e">
        <x:f>Tabela1[[#This Row],[Estoque total]]-Tabela1[[#This Row],[Consumo]]</x:f>
        <x:v>#VALUE!</x:v>
      </x:c>
      <x:c r="L17" s="9" t="e">
        <x:f>(Tabela1[[#This Row],[Valor total]]/Tabela1[[#This Row],[Estoque total]])*Tabela1[[#This Row],[Consumo]]</x:f>
        <x:v>#VALUE!</x:v>
      </x:c>
    </x:row>
    <x:row r="18">
      <x:c r="A18" s="2" t="s">
        <x:v>46</x:v>
      </x:c>
      <x:c r="B18" s="2" t="s">
        <x:v>47</x:v>
      </x:c>
      <x:c r="C18" s="2" t="s">
        <x:v>14</x:v>
      </x:c>
      <x:c r="D18" s="2" t="s">
        <x:v>15</x:v>
      </x:c>
      <x:c r="E18" s="2" t="s">
        <x:v>16</x:v>
      </x:c>
      <x:c r="F18" s="2" t="s">
        <x:v>17</x:v>
      </x:c>
      <x:c r="G18" s="3">
        <x:v>667</x:v>
      </x:c>
      <x:c r="H18" s="2" t="s">
        <x:v>18</x:v>
      </x:c>
      <x:c r="I18" s="7">
        <x:v>6912.52</x:v>
      </x:c>
      <x:c r="J18" s="2"/>
      <x:c r="K18" s="5" t="e">
        <x:f>Tabela1[[#This Row],[Estoque total]]-Tabela1[[#This Row],[Consumo]]</x:f>
        <x:v>#VALUE!</x:v>
      </x:c>
      <x:c r="L18" s="9" t="e">
        <x:f>(Tabela1[[#This Row],[Valor total]]/Tabela1[[#This Row],[Estoque total]])*Tabela1[[#This Row],[Consumo]]</x:f>
        <x:v>#VALUE!</x:v>
      </x:c>
    </x:row>
    <x:row r="19">
      <x:c r="A19" s="2" t="s">
        <x:v>48</x:v>
      </x:c>
      <x:c r="B19" s="2" t="s">
        <x:v>49</x:v>
      </x:c>
      <x:c r="C19" s="2" t="s">
        <x:v>14</x:v>
      </x:c>
      <x:c r="D19" s="2" t="s">
        <x:v>15</x:v>
      </x:c>
      <x:c r="E19" s="2" t="s">
        <x:v>16</x:v>
      </x:c>
      <x:c r="F19" s="2" t="s">
        <x:v>17</x:v>
      </x:c>
      <x:c r="G19" s="3">
        <x:v>177.21</x:v>
      </x:c>
      <x:c r="H19" s="2" t="s">
        <x:v>18</x:v>
      </x:c>
      <x:c r="I19" s="7">
        <x:v>2125.84</x:v>
      </x:c>
      <x:c r="J19" s="2"/>
      <x:c r="K19" s="5" t="e">
        <x:f>Tabela1[[#This Row],[Estoque total]]-Tabela1[[#This Row],[Consumo]]</x:f>
        <x:v>#VALUE!</x:v>
      </x:c>
      <x:c r="L19" s="9" t="e">
        <x:f>(Tabela1[[#This Row],[Valor total]]/Tabela1[[#This Row],[Estoque total]])*Tabela1[[#This Row],[Consumo]]</x:f>
        <x:v>#VALUE!</x:v>
      </x:c>
    </x:row>
    <x:row r="20">
      <x:c r="A20" s="2" t="s">
        <x:v>50</x:v>
      </x:c>
      <x:c r="B20" s="2" t="s">
        <x:v>51</x:v>
      </x:c>
      <x:c r="C20" s="2" t="s">
        <x:v>14</x:v>
      </x:c>
      <x:c r="D20" s="2" t="s">
        <x:v>15</x:v>
      </x:c>
      <x:c r="E20" s="2" t="s">
        <x:v>16</x:v>
      </x:c>
      <x:c r="F20" s="2" t="s">
        <x:v>17</x:v>
      </x:c>
      <x:c r="G20" s="3">
        <x:v>385.13</x:v>
      </x:c>
      <x:c r="H20" s="2" t="s">
        <x:v>18</x:v>
      </x:c>
      <x:c r="I20" s="7">
        <x:v>5945.41</x:v>
      </x:c>
      <x:c r="J20" s="2"/>
      <x:c r="K20" s="5" t="e">
        <x:f>Tabela1[[#This Row],[Estoque total]]-Tabela1[[#This Row],[Consumo]]</x:f>
        <x:v>#VALUE!</x:v>
      </x:c>
      <x:c r="L20" s="9" t="e">
        <x:f>(Tabela1[[#This Row],[Valor total]]/Tabela1[[#This Row],[Estoque total]])*Tabela1[[#This Row],[Consumo]]</x:f>
        <x:v>#VALUE!</x:v>
      </x:c>
    </x:row>
    <x:row r="21">
      <x:c r="A21" s="2" t="s">
        <x:v>52</x:v>
      </x:c>
      <x:c r="B21" s="2" t="s">
        <x:v>53</x:v>
      </x:c>
      <x:c r="C21" s="2" t="s">
        <x:v>14</x:v>
      </x:c>
      <x:c r="D21" s="2" t="s">
        <x:v>15</x:v>
      </x:c>
      <x:c r="E21" s="2" t="s">
        <x:v>16</x:v>
      </x:c>
      <x:c r="F21" s="2" t="s">
        <x:v>17</x:v>
      </x:c>
      <x:c r="G21" s="3">
        <x:v>165</x:v>
      </x:c>
      <x:c r="H21" s="2" t="s">
        <x:v>18</x:v>
      </x:c>
      <x:c r="I21" s="7">
        <x:v>2573.85</x:v>
      </x:c>
      <x:c r="J21" s="2"/>
      <x:c r="K21" s="5" t="e">
        <x:f>Tabela1[[#This Row],[Estoque total]]-Tabela1[[#This Row],[Consumo]]</x:f>
        <x:v>#VALUE!</x:v>
      </x:c>
      <x:c r="L21" s="9" t="e">
        <x:f>(Tabela1[[#This Row],[Valor total]]/Tabela1[[#This Row],[Estoque total]])*Tabela1[[#This Row],[Consumo]]</x:f>
        <x:v>#VALUE!</x:v>
      </x:c>
    </x:row>
    <x:row r="22">
      <x:c r="A22" s="2" t="s">
        <x:v>54</x:v>
      </x:c>
      <x:c r="B22" s="2" t="s">
        <x:v>55</x:v>
      </x:c>
      <x:c r="C22" s="2" t="s">
        <x:v>14</x:v>
      </x:c>
      <x:c r="D22" s="2" t="s">
        <x:v>15</x:v>
      </x:c>
      <x:c r="E22" s="2" t="s">
        <x:v>16</x:v>
      </x:c>
      <x:c r="F22" s="2" t="s">
        <x:v>17</x:v>
      </x:c>
      <x:c r="G22" s="3">
        <x:v>18</x:v>
      </x:c>
      <x:c r="H22" s="2" t="s">
        <x:v>18</x:v>
      </x:c>
      <x:c r="I22" s="7">
        <x:v>329.94</x:v>
      </x:c>
      <x:c r="J22" s="2"/>
      <x:c r="K22" s="5" t="e">
        <x:f>Tabela1[[#This Row],[Estoque total]]-Tabela1[[#This Row],[Consumo]]</x:f>
        <x:v>#VALUE!</x:v>
      </x:c>
      <x:c r="L22" s="9" t="e">
        <x:f>(Tabela1[[#This Row],[Valor total]]/Tabela1[[#This Row],[Estoque total]])*Tabela1[[#This Row],[Consumo]]</x:f>
        <x:v>#VALUE!</x:v>
      </x:c>
    </x:row>
    <x:row r="23">
      <x:c r="A23" s="2" t="s">
        <x:v>56</x:v>
      </x:c>
      <x:c r="B23" s="2" t="s">
        <x:v>57</x:v>
      </x:c>
      <x:c r="C23" s="2" t="s">
        <x:v>14</x:v>
      </x:c>
      <x:c r="D23" s="2" t="s">
        <x:v>15</x:v>
      </x:c>
      <x:c r="E23" s="2" t="s">
        <x:v>16</x:v>
      </x:c>
      <x:c r="F23" s="2" t="s">
        <x:v>17</x:v>
      </x:c>
      <x:c r="G23" s="3">
        <x:v>56</x:v>
      </x:c>
      <x:c r="H23" s="2" t="s">
        <x:v>18</x:v>
      </x:c>
      <x:c r="I23" s="7">
        <x:v>353.92</x:v>
      </x:c>
      <x:c r="J23" s="2"/>
      <x:c r="K23" s="5" t="e">
        <x:f>Tabela1[[#This Row],[Estoque total]]-Tabela1[[#This Row],[Consumo]]</x:f>
        <x:v>#VALUE!</x:v>
      </x:c>
      <x:c r="L23" s="9" t="e">
        <x:f>(Tabela1[[#This Row],[Valor total]]/Tabela1[[#This Row],[Estoque total]])*Tabela1[[#This Row],[Consumo]]</x:f>
        <x:v>#VALUE!</x:v>
      </x:c>
    </x:row>
    <x:row r="24">
      <x:c r="A24" s="2" t="s">
        <x:v>58</x:v>
      </x:c>
      <x:c r="B24" s="2" t="s">
        <x:v>59</x:v>
      </x:c>
      <x:c r="C24" s="2" t="s">
        <x:v>14</x:v>
      </x:c>
      <x:c r="D24" s="2" t="s">
        <x:v>15</x:v>
      </x:c>
      <x:c r="E24" s="2" t="s">
        <x:v>16</x:v>
      </x:c>
      <x:c r="F24" s="2" t="s">
        <x:v>17</x:v>
      </x:c>
      <x:c r="G24" s="3">
        <x:v>2</x:v>
      </x:c>
      <x:c r="H24" s="2" t="s">
        <x:v>18</x:v>
      </x:c>
      <x:c r="I24" s="7">
        <x:v>14.3</x:v>
      </x:c>
      <x:c r="J24" s="2"/>
      <x:c r="K24" s="5" t="e">
        <x:f>Tabela1[[#This Row],[Estoque total]]-Tabela1[[#This Row],[Consumo]]</x:f>
        <x:v>#VALUE!</x:v>
      </x:c>
      <x:c r="L24" s="9" t="e">
        <x:f>(Tabela1[[#This Row],[Valor total]]/Tabela1[[#This Row],[Estoque total]])*Tabela1[[#This Row],[Consumo]]</x:f>
        <x:v>#VALUE!</x:v>
      </x:c>
    </x:row>
    <x:row r="25">
      <x:c r="A25" s="2" t="s">
        <x:v>60</x:v>
      </x:c>
      <x:c r="B25" s="2" t="s">
        <x:v>61</x:v>
      </x:c>
      <x:c r="C25" s="2" t="s">
        <x:v>14</x:v>
      </x:c>
      <x:c r="D25" s="2" t="s">
        <x:v>15</x:v>
      </x:c>
      <x:c r="E25" s="2" t="s">
        <x:v>16</x:v>
      </x:c>
      <x:c r="F25" s="2" t="s">
        <x:v>17</x:v>
      </x:c>
      <x:c r="G25" s="3">
        <x:v>28</x:v>
      </x:c>
      <x:c r="H25" s="2" t="s">
        <x:v>18</x:v>
      </x:c>
      <x:c r="I25" s="7">
        <x:v>197.96</x:v>
      </x:c>
      <x:c r="J25" s="2"/>
      <x:c r="K25" s="5" t="e">
        <x:f>Tabela1[[#This Row],[Estoque total]]-Tabela1[[#This Row],[Consumo]]</x:f>
        <x:v>#VALUE!</x:v>
      </x:c>
      <x:c r="L25" s="9" t="e">
        <x:f>(Tabela1[[#This Row],[Valor total]]/Tabela1[[#This Row],[Estoque total]])*Tabela1[[#This Row],[Consumo]]</x:f>
        <x:v>#VALUE!</x:v>
      </x:c>
    </x:row>
    <x:row r="26">
      <x:c r="A26" s="2" t="s">
        <x:v>62</x:v>
      </x:c>
      <x:c r="B26" s="2" t="s">
        <x:v>63</x:v>
      </x:c>
      <x:c r="C26" s="2" t="s">
        <x:v>14</x:v>
      </x:c>
      <x:c r="D26" s="2" t="s">
        <x:v>15</x:v>
      </x:c>
      <x:c r="E26" s="2" t="s">
        <x:v>16</x:v>
      </x:c>
      <x:c r="F26" s="2" t="s">
        <x:v>17</x:v>
      </x:c>
      <x:c r="G26" s="3">
        <x:v>5</x:v>
      </x:c>
      <x:c r="H26" s="2" t="s">
        <x:v>18</x:v>
      </x:c>
      <x:c r="I26" s="7">
        <x:v>41.75</x:v>
      </x:c>
      <x:c r="J26" s="2"/>
      <x:c r="K26" s="5" t="e">
        <x:f>Tabela1[[#This Row],[Estoque total]]-Tabela1[[#This Row],[Consumo]]</x:f>
        <x:v>#VALUE!</x:v>
      </x:c>
      <x:c r="L26" s="9" t="e">
        <x:f>(Tabela1[[#This Row],[Valor total]]/Tabela1[[#This Row],[Estoque total]])*Tabela1[[#This Row],[Consumo]]</x:f>
        <x:v>#VALUE!</x:v>
      </x:c>
    </x:row>
    <x:row r="27">
      <x:c r="A27" s="2" t="s">
        <x:v>64</x:v>
      </x:c>
      <x:c r="B27" s="2" t="s">
        <x:v>65</x:v>
      </x:c>
      <x:c r="C27" s="2" t="s">
        <x:v>14</x:v>
      </x:c>
      <x:c r="D27" s="2" t="s">
        <x:v>15</x:v>
      </x:c>
      <x:c r="E27" s="2" t="s">
        <x:v>16</x:v>
      </x:c>
      <x:c r="F27" s="2" t="s">
        <x:v>17</x:v>
      </x:c>
      <x:c r="G27" s="3">
        <x:v>21</x:v>
      </x:c>
      <x:c r="H27" s="2" t="s">
        <x:v>18</x:v>
      </x:c>
      <x:c r="I27" s="7">
        <x:v>110.25</x:v>
      </x:c>
      <x:c r="J27" s="2"/>
      <x:c r="K27" s="5" t="e">
        <x:f>Tabela1[[#This Row],[Estoque total]]-Tabela1[[#This Row],[Consumo]]</x:f>
        <x:v>#VALUE!</x:v>
      </x:c>
      <x:c r="L27" s="9" t="e">
        <x:f>(Tabela1[[#This Row],[Valor total]]/Tabela1[[#This Row],[Estoque total]])*Tabela1[[#This Row],[Consumo]]</x:f>
        <x:v>#VALUE!</x:v>
      </x:c>
    </x:row>
    <x:row r="28">
      <x:c r="A28" s="2" t="s">
        <x:v>66</x:v>
      </x:c>
      <x:c r="B28" s="2" t="s">
        <x:v>67</x:v>
      </x:c>
      <x:c r="C28" s="2" t="s">
        <x:v>14</x:v>
      </x:c>
      <x:c r="D28" s="2" t="s">
        <x:v>15</x:v>
      </x:c>
      <x:c r="E28" s="2" t="s">
        <x:v>16</x:v>
      </x:c>
      <x:c r="F28" s="2" t="s">
        <x:v>17</x:v>
      </x:c>
      <x:c r="G28" s="3">
        <x:v>287</x:v>
      </x:c>
      <x:c r="H28" s="2" t="s">
        <x:v>18</x:v>
      </x:c>
      <x:c r="I28" s="7">
        <x:v>1130.78</x:v>
      </x:c>
      <x:c r="J28" s="2" t="n">
        <x:v>19</x:v>
      </x:c>
      <x:c r="K28" s="5" t="n">
        <x:f>Tabela1[[#This Row],[Estoque total]]-Tabela1[[#This Row],[Consumo]]</x:f>
        <x:v>268</x:v>
      </x:c>
      <x:c r="L28" s="9" t="n">
        <x:f>(Tabela1[[#This Row],[Valor total]]/Tabela1[[#This Row],[Estoque total]])*Tabela1[[#This Row],[Consumo]]</x:f>
        <x:v>74.86</x:v>
      </x:c>
    </x:row>
    <x:row r="29">
      <x:c r="A29" s="2" t="s">
        <x:v>68</x:v>
      </x:c>
      <x:c r="B29" s="2" t="s">
        <x:v>69</x:v>
      </x:c>
      <x:c r="C29" s="2" t="s">
        <x:v>14</x:v>
      </x:c>
      <x:c r="D29" s="2" t="s">
        <x:v>15</x:v>
      </x:c>
      <x:c r="E29" s="2" t="s">
        <x:v>16</x:v>
      </x:c>
      <x:c r="F29" s="2" t="s">
        <x:v>17</x:v>
      </x:c>
      <x:c r="G29" s="3">
        <x:v>35</x:v>
      </x:c>
      <x:c r="H29" s="2" t="s">
        <x:v>18</x:v>
      </x:c>
      <x:c r="I29" s="7">
        <x:v>176.4</x:v>
      </x:c>
      <x:c r="J29" s="2"/>
      <x:c r="K29" s="5" t="e">
        <x:f>Tabela1[[#This Row],[Estoque total]]-Tabela1[[#This Row],[Consumo]]</x:f>
        <x:v>#VALUE!</x:v>
      </x:c>
      <x:c r="L29" s="9" t="e">
        <x:f>(Tabela1[[#This Row],[Valor total]]/Tabela1[[#This Row],[Estoque total]])*Tabela1[[#This Row],[Consumo]]</x:f>
        <x:v>#VALUE!</x:v>
      </x:c>
    </x:row>
    <x:row r="30">
      <x:c r="A30" s="2" t="s">
        <x:v>70</x:v>
      </x:c>
      <x:c r="B30" s="2" t="s">
        <x:v>71</x:v>
      </x:c>
      <x:c r="C30" s="2" t="s">
        <x:v>14</x:v>
      </x:c>
      <x:c r="D30" s="2" t="s">
        <x:v>15</x:v>
      </x:c>
      <x:c r="E30" s="2" t="s">
        <x:v>16</x:v>
      </x:c>
      <x:c r="F30" s="2" t="s">
        <x:v>17</x:v>
      </x:c>
      <x:c r="G30" s="3">
        <x:v>20</x:v>
      </x:c>
      <x:c r="H30" s="2" t="s">
        <x:v>18</x:v>
      </x:c>
      <x:c r="I30" s="7">
        <x:v>84.2</x:v>
      </x:c>
      <x:c r="J30" s="2"/>
      <x:c r="K30" s="5" t="e">
        <x:f>Tabela1[[#This Row],[Estoque total]]-Tabela1[[#This Row],[Consumo]]</x:f>
        <x:v>#VALUE!</x:v>
      </x:c>
      <x:c r="L30" s="9" t="e">
        <x:f>(Tabela1[[#This Row],[Valor total]]/Tabela1[[#This Row],[Estoque total]])*Tabela1[[#This Row],[Consumo]]</x:f>
        <x:v>#VALUE!</x:v>
      </x:c>
    </x:row>
    <x:row r="31">
      <x:c r="A31" s="2" t="s">
        <x:v>72</x:v>
      </x:c>
      <x:c r="B31" s="2" t="s">
        <x:v>73</x:v>
      </x:c>
      <x:c r="C31" s="2" t="s">
        <x:v>14</x:v>
      </x:c>
      <x:c r="D31" s="2" t="s">
        <x:v>15</x:v>
      </x:c>
      <x:c r="E31" s="2" t="s">
        <x:v>16</x:v>
      </x:c>
      <x:c r="F31" s="2" t="s">
        <x:v>17</x:v>
      </x:c>
      <x:c r="G31" s="3">
        <x:v>56</x:v>
      </x:c>
      <x:c r="H31" s="2" t="s">
        <x:v>18</x:v>
      </x:c>
      <x:c r="I31" s="7">
        <x:v>246.96</x:v>
      </x:c>
      <x:c r="J31" s="2"/>
      <x:c r="K31" s="5" t="e">
        <x:f>Tabela1[[#This Row],[Estoque total]]-Tabela1[[#This Row],[Consumo]]</x:f>
        <x:v>#VALUE!</x:v>
      </x:c>
      <x:c r="L31" s="9" t="e">
        <x:f>(Tabela1[[#This Row],[Valor total]]/Tabela1[[#This Row],[Estoque total]])*Tabela1[[#This Row],[Consumo]]</x:f>
        <x:v>#VALUE!</x:v>
      </x:c>
    </x:row>
    <x:row r="32">
      <x:c r="A32" s="2" t="s">
        <x:v>74</x:v>
      </x:c>
      <x:c r="B32" s="2" t="s">
        <x:v>75</x:v>
      </x:c>
      <x:c r="C32" s="2" t="s">
        <x:v>14</x:v>
      </x:c>
      <x:c r="D32" s="2" t="s">
        <x:v>15</x:v>
      </x:c>
      <x:c r="E32" s="2" t="s">
        <x:v>16</x:v>
      </x:c>
      <x:c r="F32" s="2" t="s">
        <x:v>17</x:v>
      </x:c>
      <x:c r="G32" s="3">
        <x:v>40</x:v>
      </x:c>
      <x:c r="H32" s="2" t="s">
        <x:v>18</x:v>
      </x:c>
      <x:c r="I32" s="7">
        <x:v>260.8</x:v>
      </x:c>
      <x:c r="J32" s="2"/>
      <x:c r="K32" s="5" t="e">
        <x:f>Tabela1[[#This Row],[Estoque total]]-Tabela1[[#This Row],[Consumo]]</x:f>
        <x:v>#VALUE!</x:v>
      </x:c>
      <x:c r="L32" s="9" t="e">
        <x:f>(Tabela1[[#This Row],[Valor total]]/Tabela1[[#This Row],[Estoque total]])*Tabela1[[#This Row],[Consumo]]</x:f>
        <x:v>#VALUE!</x:v>
      </x:c>
    </x:row>
    <x:row r="33">
      <x:c r="A33" s="2" t="s">
        <x:v>76</x:v>
      </x:c>
      <x:c r="B33" s="2" t="s">
        <x:v>77</x:v>
      </x:c>
      <x:c r="C33" s="2" t="s">
        <x:v>14</x:v>
      </x:c>
      <x:c r="D33" s="2" t="s">
        <x:v>15</x:v>
      </x:c>
      <x:c r="E33" s="2" t="s">
        <x:v>16</x:v>
      </x:c>
      <x:c r="F33" s="2" t="s">
        <x:v>17</x:v>
      </x:c>
      <x:c r="G33" s="3">
        <x:v>38</x:v>
      </x:c>
      <x:c r="H33" s="2" t="s">
        <x:v>18</x:v>
      </x:c>
      <x:c r="I33" s="7">
        <x:v>1000.92</x:v>
      </x:c>
      <x:c r="J33" s="2" t="n">
        <x:v>13</x:v>
      </x:c>
      <x:c r="K33" s="5" t="n">
        <x:f>Tabela1[[#This Row],[Estoque total]]-Tabela1[[#This Row],[Consumo]]</x:f>
        <x:v>25</x:v>
      </x:c>
      <x:c r="L33" s="9" t="n">
        <x:f>(Tabela1[[#This Row],[Valor total]]/Tabela1[[#This Row],[Estoque total]])*Tabela1[[#This Row],[Consumo]]</x:f>
        <x:v>342.42</x:v>
      </x:c>
    </x:row>
    <x:row r="34">
      <x:c r="A34" s="2" t="s">
        <x:v>78</x:v>
      </x:c>
      <x:c r="B34" s="2" t="s">
        <x:v>79</x:v>
      </x:c>
      <x:c r="C34" s="2" t="s">
        <x:v>14</x:v>
      </x:c>
      <x:c r="D34" s="2" t="s">
        <x:v>15</x:v>
      </x:c>
      <x:c r="E34" s="2" t="s">
        <x:v>16</x:v>
      </x:c>
      <x:c r="F34" s="2" t="s">
        <x:v>17</x:v>
      </x:c>
      <x:c r="G34" s="3">
        <x:v>14</x:v>
      </x:c>
      <x:c r="H34" s="2" t="s">
        <x:v>18</x:v>
      </x:c>
      <x:c r="I34" s="7">
        <x:v>24333.4</x:v>
      </x:c>
      <x:c r="J34" s="2"/>
      <x:c r="K34" s="5" t="e">
        <x:f>Tabela1[[#This Row],[Estoque total]]-Tabela1[[#This Row],[Consumo]]</x:f>
        <x:v>#VALUE!</x:v>
      </x:c>
      <x:c r="L34" s="9" t="e">
        <x:f>(Tabela1[[#This Row],[Valor total]]/Tabela1[[#This Row],[Estoque total]])*Tabela1[[#This Row],[Consumo]]</x:f>
        <x:v>#VALUE!</x:v>
      </x:c>
    </x:row>
    <x:row r="35">
      <x:c r="A35" s="2" t="s">
        <x:v>80</x:v>
      </x:c>
      <x:c r="B35" s="2" t="s">
        <x:v>81</x:v>
      </x:c>
      <x:c r="C35" s="2" t="s">
        <x:v>14</x:v>
      </x:c>
      <x:c r="D35" s="2" t="s">
        <x:v>15</x:v>
      </x:c>
      <x:c r="E35" s="2" t="s">
        <x:v>16</x:v>
      </x:c>
      <x:c r="F35" s="2" t="s">
        <x:v>17</x:v>
      </x:c>
      <x:c r="G35" s="3">
        <x:v>47</x:v>
      </x:c>
      <x:c r="H35" s="2" t="s">
        <x:v>18</x:v>
      </x:c>
      <x:c r="I35" s="7">
        <x:v>384.93</x:v>
      </x:c>
      <x:c r="J35" s="2"/>
      <x:c r="K35" s="5" t="e">
        <x:f>Tabela1[[#This Row],[Estoque total]]-Tabela1[[#This Row],[Consumo]]</x:f>
        <x:v>#VALUE!</x:v>
      </x:c>
      <x:c r="L35" s="9" t="e">
        <x:f>(Tabela1[[#This Row],[Valor total]]/Tabela1[[#This Row],[Estoque total]])*Tabela1[[#This Row],[Consumo]]</x:f>
        <x:v>#VALUE!</x:v>
      </x:c>
    </x:row>
    <x:row r="36">
      <x:c r="A36" s="2" t="s">
        <x:v>82</x:v>
      </x:c>
      <x:c r="B36" s="2" t="s">
        <x:v>83</x:v>
      </x:c>
      <x:c r="C36" s="2" t="s">
        <x:v>14</x:v>
      </x:c>
      <x:c r="D36" s="2" t="s">
        <x:v>15</x:v>
      </x:c>
      <x:c r="E36" s="2" t="s">
        <x:v>16</x:v>
      </x:c>
      <x:c r="F36" s="2" t="s">
        <x:v>17</x:v>
      </x:c>
      <x:c r="G36" s="3">
        <x:v>20</x:v>
      </x:c>
      <x:c r="H36" s="2" t="s">
        <x:v>18</x:v>
      </x:c>
      <x:c r="I36" s="7">
        <x:v>192</x:v>
      </x:c>
      <x:c r="J36" s="2"/>
      <x:c r="K36" s="5" t="e">
        <x:f>Tabela1[[#This Row],[Estoque total]]-Tabela1[[#This Row],[Consumo]]</x:f>
        <x:v>#VALUE!</x:v>
      </x:c>
      <x:c r="L36" s="9" t="e">
        <x:f>(Tabela1[[#This Row],[Valor total]]/Tabela1[[#This Row],[Estoque total]])*Tabela1[[#This Row],[Consumo]]</x:f>
        <x:v>#VALUE!</x:v>
      </x:c>
    </x:row>
    <x:row r="37">
      <x:c r="A37" s="2" t="s">
        <x:v>84</x:v>
      </x:c>
      <x:c r="B37" s="2" t="s">
        <x:v>85</x:v>
      </x:c>
      <x:c r="C37" s="2" t="s">
        <x:v>14</x:v>
      </x:c>
      <x:c r="D37" s="2" t="s">
        <x:v>15</x:v>
      </x:c>
      <x:c r="E37" s="2" t="s">
        <x:v>16</x:v>
      </x:c>
      <x:c r="F37" s="2" t="s">
        <x:v>17</x:v>
      </x:c>
      <x:c r="G37" s="3">
        <x:v>21</x:v>
      </x:c>
      <x:c r="H37" s="2" t="s">
        <x:v>18</x:v>
      </x:c>
      <x:c r="I37" s="7">
        <x:v>207.45</x:v>
      </x:c>
      <x:c r="J37" s="2"/>
      <x:c r="K37" s="5" t="e">
        <x:f>Tabela1[[#This Row],[Estoque total]]-Tabela1[[#This Row],[Consumo]]</x:f>
        <x:v>#VALUE!</x:v>
      </x:c>
      <x:c r="L37" s="9" t="e">
        <x:f>(Tabela1[[#This Row],[Valor total]]/Tabela1[[#This Row],[Estoque total]])*Tabela1[[#This Row],[Consumo]]</x:f>
        <x:v>#VALUE!</x:v>
      </x:c>
    </x:row>
    <x:row r="38">
      <x:c r="A38" s="2" t="s">
        <x:v>86</x:v>
      </x:c>
      <x:c r="B38" s="2" t="s">
        <x:v>87</x:v>
      </x:c>
      <x:c r="C38" s="2" t="s">
        <x:v>14</x:v>
      </x:c>
      <x:c r="D38" s="2" t="s">
        <x:v>15</x:v>
      </x:c>
      <x:c r="E38" s="2" t="s">
        <x:v>16</x:v>
      </x:c>
      <x:c r="F38" s="2" t="s">
        <x:v>17</x:v>
      </x:c>
      <x:c r="G38" s="3">
        <x:v>45</x:v>
      </x:c>
      <x:c r="H38" s="2" t="s">
        <x:v>18</x:v>
      </x:c>
      <x:c r="I38" s="7">
        <x:v>368.55</x:v>
      </x:c>
      <x:c r="J38" s="2"/>
      <x:c r="K38" s="5" t="e">
        <x:f>Tabela1[[#This Row],[Estoque total]]-Tabela1[[#This Row],[Consumo]]</x:f>
        <x:v>#VALUE!</x:v>
      </x:c>
      <x:c r="L38" s="9" t="e">
        <x:f>(Tabela1[[#This Row],[Valor total]]/Tabela1[[#This Row],[Estoque total]])*Tabela1[[#This Row],[Consumo]]</x:f>
        <x:v>#VALUE!</x:v>
      </x:c>
    </x:row>
    <x:row r="39">
      <x:c r="A39" s="2" t="s">
        <x:v>88</x:v>
      </x:c>
      <x:c r="B39" s="2" t="s">
        <x:v>89</x:v>
      </x:c>
      <x:c r="C39" s="2" t="s">
        <x:v>14</x:v>
      </x:c>
      <x:c r="D39" s="2" t="s">
        <x:v>15</x:v>
      </x:c>
      <x:c r="E39" s="2" t="s">
        <x:v>16</x:v>
      </x:c>
      <x:c r="F39" s="2" t="s">
        <x:v>17</x:v>
      </x:c>
      <x:c r="G39" s="3">
        <x:v>20</x:v>
      </x:c>
      <x:c r="H39" s="2" t="s">
        <x:v>18</x:v>
      </x:c>
      <x:c r="I39" s="7">
        <x:v>192</x:v>
      </x:c>
      <x:c r="J39" s="2"/>
      <x:c r="K39" s="5" t="e">
        <x:f>Tabela1[[#This Row],[Estoque total]]-Tabela1[[#This Row],[Consumo]]</x:f>
        <x:v>#VALUE!</x:v>
      </x:c>
      <x:c r="L39" s="9" t="e">
        <x:f>(Tabela1[[#This Row],[Valor total]]/Tabela1[[#This Row],[Estoque total]])*Tabela1[[#This Row],[Consumo]]</x:f>
        <x:v>#VALUE!</x:v>
      </x:c>
    </x:row>
    <x:row r="40">
      <x:c r="A40" s="2" t="s">
        <x:v>90</x:v>
      </x:c>
      <x:c r="B40" s="2" t="s">
        <x:v>91</x:v>
      </x:c>
      <x:c r="C40" s="2" t="s">
        <x:v>14</x:v>
      </x:c>
      <x:c r="D40" s="2" t="s">
        <x:v>15</x:v>
      </x:c>
      <x:c r="E40" s="2" t="s">
        <x:v>16</x:v>
      </x:c>
      <x:c r="F40" s="2" t="s">
        <x:v>17</x:v>
      </x:c>
      <x:c r="G40" s="3">
        <x:v>12</x:v>
      </x:c>
      <x:c r="H40" s="2" t="s">
        <x:v>18</x:v>
      </x:c>
      <x:c r="I40" s="7">
        <x:v>122.45</x:v>
      </x:c>
      <x:c r="J40" s="2"/>
      <x:c r="K40" s="5" t="e">
        <x:f>Tabela1[[#This Row],[Estoque total]]-Tabela1[[#This Row],[Consumo]]</x:f>
        <x:v>#VALUE!</x:v>
      </x:c>
      <x:c r="L40" s="9" t="e">
        <x:f>(Tabela1[[#This Row],[Valor total]]/Tabela1[[#This Row],[Estoque total]])*Tabela1[[#This Row],[Consumo]]</x:f>
        <x:v>#VALUE!</x:v>
      </x:c>
    </x:row>
    <x:row r="41">
      <x:c r="A41" s="2" t="s">
        <x:v>92</x:v>
      </x:c>
      <x:c r="B41" s="2" t="s">
        <x:v>93</x:v>
      </x:c>
      <x:c r="C41" s="2" t="s">
        <x:v>14</x:v>
      </x:c>
      <x:c r="D41" s="2" t="s">
        <x:v>15</x:v>
      </x:c>
      <x:c r="E41" s="2" t="s">
        <x:v>16</x:v>
      </x:c>
      <x:c r="F41" s="2" t="s">
        <x:v>17</x:v>
      </x:c>
      <x:c r="G41" s="3">
        <x:v>3</x:v>
      </x:c>
      <x:c r="H41" s="2" t="s">
        <x:v>18</x:v>
      </x:c>
      <x:c r="I41" s="7">
        <x:v>78.45</x:v>
      </x:c>
      <x:c r="J41" s="2"/>
      <x:c r="K41" s="5" t="e">
        <x:f>Tabela1[[#This Row],[Estoque total]]-Tabela1[[#This Row],[Consumo]]</x:f>
        <x:v>#VALUE!</x:v>
      </x:c>
      <x:c r="L41" s="9" t="e">
        <x:f>(Tabela1[[#This Row],[Valor total]]/Tabela1[[#This Row],[Estoque total]])*Tabela1[[#This Row],[Consumo]]</x:f>
        <x:v>#VALUE!</x:v>
      </x:c>
    </x:row>
    <x:row r="42">
      <x:c r="A42" s="2" t="s">
        <x:v>94</x:v>
      </x:c>
      <x:c r="B42" s="2" t="s">
        <x:v>95</x:v>
      </x:c>
      <x:c r="C42" s="2" t="s">
        <x:v>14</x:v>
      </x:c>
      <x:c r="D42" s="2" t="s">
        <x:v>15</x:v>
      </x:c>
      <x:c r="E42" s="2" t="s">
        <x:v>16</x:v>
      </x:c>
      <x:c r="F42" s="2" t="s">
        <x:v>17</x:v>
      </x:c>
      <x:c r="G42" s="3">
        <x:v>11</x:v>
      </x:c>
      <x:c r="H42" s="2" t="s">
        <x:v>18</x:v>
      </x:c>
      <x:c r="I42" s="7">
        <x:v>287.64999999999998</x:v>
      </x:c>
      <x:c r="J42" s="2"/>
      <x:c r="K42" s="5" t="e">
        <x:f>Tabela1[[#This Row],[Estoque total]]-Tabela1[[#This Row],[Consumo]]</x:f>
        <x:v>#VALUE!</x:v>
      </x:c>
      <x:c r="L42" s="9" t="e">
        <x:f>(Tabela1[[#This Row],[Valor total]]/Tabela1[[#This Row],[Estoque total]])*Tabela1[[#This Row],[Consumo]]</x:f>
        <x:v>#VALUE!</x:v>
      </x:c>
    </x:row>
    <x:row r="43">
      <x:c r="A43" s="2" t="s">
        <x:v>96</x:v>
      </x:c>
      <x:c r="B43" s="2" t="s">
        <x:v>97</x:v>
      </x:c>
      <x:c r="C43" s="2" t="s">
        <x:v>14</x:v>
      </x:c>
      <x:c r="D43" s="2" t="s">
        <x:v>15</x:v>
      </x:c>
      <x:c r="E43" s="2" t="s">
        <x:v>16</x:v>
      </x:c>
      <x:c r="F43" s="2" t="s">
        <x:v>17</x:v>
      </x:c>
      <x:c r="G43" s="3">
        <x:v>2</x:v>
      </x:c>
      <x:c r="H43" s="2" t="s">
        <x:v>18</x:v>
      </x:c>
      <x:c r="I43" s="7">
        <x:v>61.72</x:v>
      </x:c>
      <x:c r="J43" s="2"/>
      <x:c r="K43" s="5" t="e">
        <x:f>Tabela1[[#This Row],[Estoque total]]-Tabela1[[#This Row],[Consumo]]</x:f>
        <x:v>#VALUE!</x:v>
      </x:c>
      <x:c r="L43" s="9" t="e">
        <x:f>(Tabela1[[#This Row],[Valor total]]/Tabela1[[#This Row],[Estoque total]])*Tabela1[[#This Row],[Consumo]]</x:f>
        <x:v>#VALUE!</x:v>
      </x:c>
    </x:row>
    <x:row r="44">
      <x:c r="A44" s="2" t="s">
        <x:v>98</x:v>
      </x:c>
      <x:c r="B44" s="2" t="s">
        <x:v>99</x:v>
      </x:c>
      <x:c r="C44" s="2" t="s">
        <x:v>14</x:v>
      </x:c>
      <x:c r="D44" s="2" t="s">
        <x:v>15</x:v>
      </x:c>
      <x:c r="E44" s="2" t="s">
        <x:v>16</x:v>
      </x:c>
      <x:c r="F44" s="2" t="s">
        <x:v>17</x:v>
      </x:c>
      <x:c r="G44" s="3">
        <x:v>2</x:v>
      </x:c>
      <x:c r="H44" s="2" t="s">
        <x:v>18</x:v>
      </x:c>
      <x:c r="I44" s="7">
        <x:v>61.72</x:v>
      </x:c>
      <x:c r="J44" s="2"/>
      <x:c r="K44" s="5" t="e">
        <x:f>Tabela1[[#This Row],[Estoque total]]-Tabela1[[#This Row],[Consumo]]</x:f>
        <x:v>#VALUE!</x:v>
      </x:c>
      <x:c r="L44" s="9" t="e">
        <x:f>(Tabela1[[#This Row],[Valor total]]/Tabela1[[#This Row],[Estoque total]])*Tabela1[[#This Row],[Consumo]]</x:f>
        <x:v>#VALUE!</x:v>
      </x:c>
    </x:row>
    <x:row r="45">
      <x:c r="A45" s="2" t="s">
        <x:v>100</x:v>
      </x:c>
      <x:c r="B45" s="2" t="s">
        <x:v>101</x:v>
      </x:c>
      <x:c r="C45" s="2" t="s">
        <x:v>14</x:v>
      </x:c>
      <x:c r="D45" s="2" t="s">
        <x:v>15</x:v>
      </x:c>
      <x:c r="E45" s="2" t="s">
        <x:v>16</x:v>
      </x:c>
      <x:c r="F45" s="2" t="s">
        <x:v>17</x:v>
      </x:c>
      <x:c r="G45" s="3">
        <x:v>4</x:v>
      </x:c>
      <x:c r="H45" s="2" t="s">
        <x:v>18</x:v>
      </x:c>
      <x:c r="I45" s="7">
        <x:v>760.8</x:v>
      </x:c>
      <x:c r="J45" s="2" t="n">
        <x:v>1</x:v>
      </x:c>
      <x:c r="K45" s="5" t="n">
        <x:f>Tabela1[[#This Row],[Estoque total]]-Tabela1[[#This Row],[Consumo]]</x:f>
        <x:v>3</x:v>
      </x:c>
      <x:c r="L45" s="9" t="n">
        <x:f>(Tabela1[[#This Row],[Valor total]]/Tabela1[[#This Row],[Estoque total]])*Tabela1[[#This Row],[Consumo]]</x:f>
        <x:v>190.2</x:v>
      </x:c>
    </x:row>
    <x:row r="46">
      <x:c r="A46" s="2" t="s">
        <x:v>102</x:v>
      </x:c>
      <x:c r="B46" s="2" t="s">
        <x:v>103</x:v>
      </x:c>
      <x:c r="C46" s="2" t="s">
        <x:v>14</x:v>
      </x:c>
      <x:c r="D46" s="2" t="s">
        <x:v>15</x:v>
      </x:c>
      <x:c r="E46" s="2" t="s">
        <x:v>16</x:v>
      </x:c>
      <x:c r="F46" s="2" t="s">
        <x:v>17</x:v>
      </x:c>
      <x:c r="G46" s="3">
        <x:v>1</x:v>
      </x:c>
      <x:c r="H46" s="2" t="s">
        <x:v>18</x:v>
      </x:c>
      <x:c r="I46" s="7">
        <x:v>214.89</x:v>
      </x:c>
      <x:c r="J46" s="2"/>
      <x:c r="K46" s="5" t="e">
        <x:f>Tabela1[[#This Row],[Estoque total]]-Tabela1[[#This Row],[Consumo]]</x:f>
        <x:v>#VALUE!</x:v>
      </x:c>
      <x:c r="L46" s="9" t="e">
        <x:f>(Tabela1[[#This Row],[Valor total]]/Tabela1[[#This Row],[Estoque total]])*Tabela1[[#This Row],[Consumo]]</x:f>
        <x:v>#VALUE!</x:v>
      </x:c>
    </x:row>
    <x:row r="47">
      <x:c r="A47" s="2" t="s">
        <x:v>104</x:v>
      </x:c>
      <x:c r="B47" s="2" t="s">
        <x:v>105</x:v>
      </x:c>
      <x:c r="C47" s="2" t="s">
        <x:v>14</x:v>
      </x:c>
      <x:c r="D47" s="2" t="s">
        <x:v>15</x:v>
      </x:c>
      <x:c r="E47" s="2" t="s">
        <x:v>16</x:v>
      </x:c>
      <x:c r="F47" s="2" t="s">
        <x:v>17</x:v>
      </x:c>
      <x:c r="G47" s="3">
        <x:v>37</x:v>
      </x:c>
      <x:c r="H47" s="2" t="s">
        <x:v>18</x:v>
      </x:c>
      <x:c r="I47" s="7">
        <x:v>7576.86</x:v>
      </x:c>
      <x:c r="J47" s="2"/>
      <x:c r="K47" s="5" t="e">
        <x:f>Tabela1[[#This Row],[Estoque total]]-Tabela1[[#This Row],[Consumo]]</x:f>
        <x:v>#VALUE!</x:v>
      </x:c>
      <x:c r="L47" s="9" t="e">
        <x:f>(Tabela1[[#This Row],[Valor total]]/Tabela1[[#This Row],[Estoque total]])*Tabela1[[#This Row],[Consumo]]</x:f>
        <x:v>#VALUE!</x:v>
      </x:c>
    </x:row>
    <x:row r="48">
      <x:c r="A48" s="2" t="s">
        <x:v>106</x:v>
      </x:c>
      <x:c r="B48" s="2" t="s">
        <x:v>107</x:v>
      </x:c>
      <x:c r="C48" s="2" t="s">
        <x:v>14</x:v>
      </x:c>
      <x:c r="D48" s="2" t="s">
        <x:v>15</x:v>
      </x:c>
      <x:c r="E48" s="2" t="s">
        <x:v>16</x:v>
      </x:c>
      <x:c r="F48" s="2" t="s">
        <x:v>17</x:v>
      </x:c>
      <x:c r="G48" s="3">
        <x:v>1</x:v>
      </x:c>
      <x:c r="H48" s="2" t="s">
        <x:v>18</x:v>
      </x:c>
      <x:c r="I48" s="7">
        <x:v>232.18</x:v>
      </x:c>
      <x:c r="J48" s="2"/>
      <x:c r="K48" s="5" t="e">
        <x:f>Tabela1[[#This Row],[Estoque total]]-Tabela1[[#This Row],[Consumo]]</x:f>
        <x:v>#VALUE!</x:v>
      </x:c>
      <x:c r="L48" s="9" t="e">
        <x:f>(Tabela1[[#This Row],[Valor total]]/Tabela1[[#This Row],[Estoque total]])*Tabela1[[#This Row],[Consumo]]</x:f>
        <x:v>#VALUE!</x:v>
      </x:c>
    </x:row>
    <x:row r="49">
      <x:c r="A49" s="2" t="s">
        <x:v>108</x:v>
      </x:c>
      <x:c r="B49" s="2" t="s">
        <x:v>109</x:v>
      </x:c>
      <x:c r="C49" s="2" t="s">
        <x:v>14</x:v>
      </x:c>
      <x:c r="D49" s="2" t="s">
        <x:v>15</x:v>
      </x:c>
      <x:c r="E49" s="2" t="s">
        <x:v>16</x:v>
      </x:c>
      <x:c r="F49" s="2" t="s">
        <x:v>17</x:v>
      </x:c>
      <x:c r="G49" s="3">
        <x:v>2</x:v>
      </x:c>
      <x:c r="H49" s="2" t="s">
        <x:v>18</x:v>
      </x:c>
      <x:c r="I49" s="7">
        <x:v>10.4</x:v>
      </x:c>
      <x:c r="J49" s="2"/>
      <x:c r="K49" s="5" t="e">
        <x:f>Tabela1[[#This Row],[Estoque total]]-Tabela1[[#This Row],[Consumo]]</x:f>
        <x:v>#VALUE!</x:v>
      </x:c>
      <x:c r="L49" s="9" t="e">
        <x:f>(Tabela1[[#This Row],[Valor total]]/Tabela1[[#This Row],[Estoque total]])*Tabela1[[#This Row],[Consumo]]</x:f>
        <x:v>#VALUE!</x:v>
      </x:c>
    </x:row>
    <x:row r="50">
      <x:c r="A50" s="2" t="s">
        <x:v>110</x:v>
      </x:c>
      <x:c r="B50" s="2" t="s">
        <x:v>111</x:v>
      </x:c>
      <x:c r="C50" s="2" t="s">
        <x:v>14</x:v>
      </x:c>
      <x:c r="D50" s="2" t="s">
        <x:v>15</x:v>
      </x:c>
      <x:c r="E50" s="2" t="s">
        <x:v>16</x:v>
      </x:c>
      <x:c r="F50" s="2" t="s">
        <x:v>17</x:v>
      </x:c>
      <x:c r="G50" s="3">
        <x:v>10</x:v>
      </x:c>
      <x:c r="H50" s="2" t="s">
        <x:v>18</x:v>
      </x:c>
      <x:c r="I50" s="7">
        <x:v>63.3</x:v>
      </x:c>
      <x:c r="J50" s="2"/>
      <x:c r="K50" s="5" t="e">
        <x:f>Tabela1[[#This Row],[Estoque total]]-Tabela1[[#This Row],[Consumo]]</x:f>
        <x:v>#VALUE!</x:v>
      </x:c>
      <x:c r="L50" s="9" t="e">
        <x:f>(Tabela1[[#This Row],[Valor total]]/Tabela1[[#This Row],[Estoque total]])*Tabela1[[#This Row],[Consumo]]</x:f>
        <x:v>#VALUE!</x:v>
      </x:c>
    </x:row>
    <x:row r="51">
      <x:c r="A51" s="2" t="s">
        <x:v>112</x:v>
      </x:c>
      <x:c r="B51" s="2" t="s">
        <x:v>113</x:v>
      </x:c>
      <x:c r="C51" s="2" t="s">
        <x:v>14</x:v>
      </x:c>
      <x:c r="D51" s="2" t="s">
        <x:v>15</x:v>
      </x:c>
      <x:c r="E51" s="2" t="s">
        <x:v>16</x:v>
      </x:c>
      <x:c r="F51" s="2" t="s">
        <x:v>17</x:v>
      </x:c>
      <x:c r="G51" s="3">
        <x:v>2</x:v>
      </x:c>
      <x:c r="H51" s="2" t="s">
        <x:v>18</x:v>
      </x:c>
      <x:c r="I51" s="7">
        <x:v>11.64</x:v>
      </x:c>
      <x:c r="J51" s="2"/>
      <x:c r="K51" s="5" t="e">
        <x:f>Tabela1[[#This Row],[Estoque total]]-Tabela1[[#This Row],[Consumo]]</x:f>
        <x:v>#VALUE!</x:v>
      </x:c>
      <x:c r="L51" s="9" t="e">
        <x:f>(Tabela1[[#This Row],[Valor total]]/Tabela1[[#This Row],[Estoque total]])*Tabela1[[#This Row],[Consumo]]</x:f>
        <x:v>#VALUE!</x:v>
      </x:c>
    </x:row>
    <x:row r="52">
      <x:c r="A52" s="2" t="s">
        <x:v>114</x:v>
      </x:c>
      <x:c r="B52" s="2" t="s">
        <x:v>115</x:v>
      </x:c>
      <x:c r="C52" s="2" t="s">
        <x:v>14</x:v>
      </x:c>
      <x:c r="D52" s="2" t="s">
        <x:v>15</x:v>
      </x:c>
      <x:c r="E52" s="2" t="s">
        <x:v>16</x:v>
      </x:c>
      <x:c r="F52" s="2" t="s">
        <x:v>17</x:v>
      </x:c>
      <x:c r="G52" s="3">
        <x:v>2</x:v>
      </x:c>
      <x:c r="H52" s="2" t="s">
        <x:v>18</x:v>
      </x:c>
      <x:c r="I52" s="7">
        <x:v>10.4</x:v>
      </x:c>
      <x:c r="J52" s="2"/>
      <x:c r="K52" s="5" t="e">
        <x:f>Tabela1[[#This Row],[Estoque total]]-Tabela1[[#This Row],[Consumo]]</x:f>
        <x:v>#VALUE!</x:v>
      </x:c>
      <x:c r="L52" s="9" t="e">
        <x:f>(Tabela1[[#This Row],[Valor total]]/Tabela1[[#This Row],[Estoque total]])*Tabela1[[#This Row],[Consumo]]</x:f>
        <x:v>#VALUE!</x:v>
      </x:c>
    </x:row>
    <x:row r="53">
      <x:c r="A53" s="2" t="s">
        <x:v>116</x:v>
      </x:c>
      <x:c r="B53" s="2" t="s">
        <x:v>117</x:v>
      </x:c>
      <x:c r="C53" s="2" t="s">
        <x:v>14</x:v>
      </x:c>
      <x:c r="D53" s="2" t="s">
        <x:v>15</x:v>
      </x:c>
      <x:c r="E53" s="2" t="s">
        <x:v>16</x:v>
      </x:c>
      <x:c r="F53" s="2" t="s">
        <x:v>17</x:v>
      </x:c>
      <x:c r="G53" s="3">
        <x:v>12</x:v>
      </x:c>
      <x:c r="H53" s="2" t="s">
        <x:v>18</x:v>
      </x:c>
      <x:c r="I53" s="7">
        <x:v>9.7200000000000006</x:v>
      </x:c>
      <x:c r="J53" s="2"/>
      <x:c r="K53" s="5" t="e">
        <x:f>Tabela1[[#This Row],[Estoque total]]-Tabela1[[#This Row],[Consumo]]</x:f>
        <x:v>#VALUE!</x:v>
      </x:c>
      <x:c r="L53" s="9" t="e">
        <x:f>(Tabela1[[#This Row],[Valor total]]/Tabela1[[#This Row],[Estoque total]])*Tabela1[[#This Row],[Consumo]]</x:f>
        <x:v>#VALUE!</x:v>
      </x:c>
    </x:row>
    <x:row r="54">
      <x:c r="A54" s="2" t="s">
        <x:v>118</x:v>
      </x:c>
      <x:c r="B54" s="2" t="s">
        <x:v>119</x:v>
      </x:c>
      <x:c r="C54" s="2" t="s">
        <x:v>14</x:v>
      </x:c>
      <x:c r="D54" s="2" t="s">
        <x:v>15</x:v>
      </x:c>
      <x:c r="E54" s="2" t="s">
        <x:v>16</x:v>
      </x:c>
      <x:c r="F54" s="2" t="s">
        <x:v>17</x:v>
      </x:c>
      <x:c r="G54" s="3">
        <x:v>99</x:v>
      </x:c>
      <x:c r="H54" s="2" t="s">
        <x:v>18</x:v>
      </x:c>
      <x:c r="I54" s="7">
        <x:v>111.35</x:v>
      </x:c>
      <x:c r="J54" s="2"/>
      <x:c r="K54" s="5" t="e">
        <x:f>Tabela1[[#This Row],[Estoque total]]-Tabela1[[#This Row],[Consumo]]</x:f>
        <x:v>#VALUE!</x:v>
      </x:c>
      <x:c r="L54" s="9" t="e">
        <x:f>(Tabela1[[#This Row],[Valor total]]/Tabela1[[#This Row],[Estoque total]])*Tabela1[[#This Row],[Consumo]]</x:f>
        <x:v>#VALUE!</x:v>
      </x:c>
    </x:row>
    <x:row r="55">
      <x:c r="A55" s="2" t="s">
        <x:v>120</x:v>
      </x:c>
      <x:c r="B55" s="2" t="s">
        <x:v>121</x:v>
      </x:c>
      <x:c r="C55" s="2" t="s">
        <x:v>14</x:v>
      </x:c>
      <x:c r="D55" s="2" t="s">
        <x:v>15</x:v>
      </x:c>
      <x:c r="E55" s="2" t="s">
        <x:v>16</x:v>
      </x:c>
      <x:c r="F55" s="2" t="s">
        <x:v>17</x:v>
      </x:c>
      <x:c r="G55" s="3">
        <x:v>80</x:v>
      </x:c>
      <x:c r="H55" s="2" t="s">
        <x:v>18</x:v>
      </x:c>
      <x:c r="I55" s="7">
        <x:v>84.8</x:v>
      </x:c>
      <x:c r="J55" s="2"/>
      <x:c r="K55" s="5" t="e">
        <x:f>Tabela1[[#This Row],[Estoque total]]-Tabela1[[#This Row],[Consumo]]</x:f>
        <x:v>#VALUE!</x:v>
      </x:c>
      <x:c r="L55" s="9" t="e">
        <x:f>(Tabela1[[#This Row],[Valor total]]/Tabela1[[#This Row],[Estoque total]])*Tabela1[[#This Row],[Consumo]]</x:f>
        <x:v>#VALUE!</x:v>
      </x:c>
    </x:row>
    <x:row r="56">
      <x:c r="A56" s="2" t="s">
        <x:v>122</x:v>
      </x:c>
      <x:c r="B56" s="2" t="s">
        <x:v>123</x:v>
      </x:c>
      <x:c r="C56" s="2" t="s">
        <x:v>14</x:v>
      </x:c>
      <x:c r="D56" s="2" t="s">
        <x:v>15</x:v>
      </x:c>
      <x:c r="E56" s="2" t="s">
        <x:v>16</x:v>
      </x:c>
      <x:c r="F56" s="2" t="s">
        <x:v>17</x:v>
      </x:c>
      <x:c r="G56" s="3">
        <x:v>40</x:v>
      </x:c>
      <x:c r="H56" s="2" t="s">
        <x:v>18</x:v>
      </x:c>
      <x:c r="I56" s="7">
        <x:v>26</x:v>
      </x:c>
      <x:c r="J56" s="2"/>
      <x:c r="K56" s="5" t="e">
        <x:f>Tabela1[[#This Row],[Estoque total]]-Tabela1[[#This Row],[Consumo]]</x:f>
        <x:v>#VALUE!</x:v>
      </x:c>
      <x:c r="L56" s="9" t="e">
        <x:f>(Tabela1[[#This Row],[Valor total]]/Tabela1[[#This Row],[Estoque total]])*Tabela1[[#This Row],[Consumo]]</x:f>
        <x:v>#VALUE!</x:v>
      </x:c>
    </x:row>
    <x:row r="57">
      <x:c r="A57" s="2" t="s">
        <x:v>124</x:v>
      </x:c>
      <x:c r="B57" s="2" t="s">
        <x:v>125</x:v>
      </x:c>
      <x:c r="C57" s="2" t="s">
        <x:v>14</x:v>
      </x:c>
      <x:c r="D57" s="2" t="s">
        <x:v>15</x:v>
      </x:c>
      <x:c r="E57" s="2" t="s">
        <x:v>16</x:v>
      </x:c>
      <x:c r="F57" s="2" t="s">
        <x:v>17</x:v>
      </x:c>
      <x:c r="G57" s="3">
        <x:v>40</x:v>
      </x:c>
      <x:c r="H57" s="2" t="s">
        <x:v>18</x:v>
      </x:c>
      <x:c r="I57" s="7">
        <x:v>42.4</x:v>
      </x:c>
      <x:c r="J57" s="2"/>
      <x:c r="K57" s="5" t="e">
        <x:f>Tabela1[[#This Row],[Estoque total]]-Tabela1[[#This Row],[Consumo]]</x:f>
        <x:v>#VALUE!</x:v>
      </x:c>
      <x:c r="L57" s="9" t="e">
        <x:f>(Tabela1[[#This Row],[Valor total]]/Tabela1[[#This Row],[Estoque total]])*Tabela1[[#This Row],[Consumo]]</x:f>
        <x:v>#VALUE!</x:v>
      </x:c>
    </x:row>
    <x:row r="58">
      <x:c r="A58" s="2" t="s">
        <x:v>126</x:v>
      </x:c>
      <x:c r="B58" s="2" t="s">
        <x:v>127</x:v>
      </x:c>
      <x:c r="C58" s="2" t="s">
        <x:v>14</x:v>
      </x:c>
      <x:c r="D58" s="2" t="s">
        <x:v>15</x:v>
      </x:c>
      <x:c r="E58" s="2" t="s">
        <x:v>16</x:v>
      </x:c>
      <x:c r="F58" s="2" t="s">
        <x:v>17</x:v>
      </x:c>
      <x:c r="G58" s="3">
        <x:v>130</x:v>
      </x:c>
      <x:c r="H58" s="2" t="s">
        <x:v>18</x:v>
      </x:c>
      <x:c r="I58" s="7">
        <x:v>135.19999999999999</x:v>
      </x:c>
      <x:c r="J58" s="2"/>
      <x:c r="K58" s="5" t="e">
        <x:f>Tabela1[[#This Row],[Estoque total]]-Tabela1[[#This Row],[Consumo]]</x:f>
        <x:v>#VALUE!</x:v>
      </x:c>
      <x:c r="L58" s="9" t="e">
        <x:f>(Tabela1[[#This Row],[Valor total]]/Tabela1[[#This Row],[Estoque total]])*Tabela1[[#This Row],[Consumo]]</x:f>
        <x:v>#VALUE!</x:v>
      </x:c>
    </x:row>
    <x:row r="59">
      <x:c r="A59" s="2" t="s">
        <x:v>128</x:v>
      </x:c>
      <x:c r="B59" s="2" t="s">
        <x:v>129</x:v>
      </x:c>
      <x:c r="C59" s="2" t="s">
        <x:v>14</x:v>
      </x:c>
      <x:c r="D59" s="2" t="s">
        <x:v>15</x:v>
      </x:c>
      <x:c r="E59" s="2" t="s">
        <x:v>16</x:v>
      </x:c>
      <x:c r="F59" s="2" t="s">
        <x:v>17</x:v>
      </x:c>
      <x:c r="G59" s="3">
        <x:v>47</x:v>
      </x:c>
      <x:c r="H59" s="2" t="s">
        <x:v>18</x:v>
      </x:c>
      <x:c r="I59" s="7">
        <x:v>51.35</x:v>
      </x:c>
      <x:c r="J59" s="2"/>
      <x:c r="K59" s="5" t="e">
        <x:f>Tabela1[[#This Row],[Estoque total]]-Tabela1[[#This Row],[Consumo]]</x:f>
        <x:v>#VALUE!</x:v>
      </x:c>
      <x:c r="L59" s="9" t="e">
        <x:f>(Tabela1[[#This Row],[Valor total]]/Tabela1[[#This Row],[Estoque total]])*Tabela1[[#This Row],[Consumo]]</x:f>
        <x:v>#VALUE!</x:v>
      </x:c>
    </x:row>
    <x:row r="60">
      <x:c r="A60" s="2" t="s">
        <x:v>130</x:v>
      </x:c>
      <x:c r="B60" s="2" t="s">
        <x:v>131</x:v>
      </x:c>
      <x:c r="C60" s="2" t="s">
        <x:v>14</x:v>
      </x:c>
      <x:c r="D60" s="2" t="s">
        <x:v>15</x:v>
      </x:c>
      <x:c r="E60" s="2" t="s">
        <x:v>16</x:v>
      </x:c>
      <x:c r="F60" s="2" t="s">
        <x:v>17</x:v>
      </x:c>
      <x:c r="G60" s="3">
        <x:v>64</x:v>
      </x:c>
      <x:c r="H60" s="2" t="s">
        <x:v>18</x:v>
      </x:c>
      <x:c r="I60" s="7">
        <x:v>72.959999999999994</x:v>
      </x:c>
      <x:c r="J60" s="2"/>
      <x:c r="K60" s="5" t="e">
        <x:f>Tabela1[[#This Row],[Estoque total]]-Tabela1[[#This Row],[Consumo]]</x:f>
        <x:v>#VALUE!</x:v>
      </x:c>
      <x:c r="L60" s="9" t="e">
        <x:f>(Tabela1[[#This Row],[Valor total]]/Tabela1[[#This Row],[Estoque total]])*Tabela1[[#This Row],[Consumo]]</x:f>
        <x:v>#VALUE!</x:v>
      </x:c>
    </x:row>
    <x:row r="61">
      <x:c r="A61" s="2" t="s">
        <x:v>132</x:v>
      </x:c>
      <x:c r="B61" s="2" t="s">
        <x:v>133</x:v>
      </x:c>
      <x:c r="C61" s="2" t="s">
        <x:v>14</x:v>
      </x:c>
      <x:c r="D61" s="2" t="s">
        <x:v>15</x:v>
      </x:c>
      <x:c r="E61" s="2" t="s">
        <x:v>16</x:v>
      </x:c>
      <x:c r="F61" s="2" t="s">
        <x:v>17</x:v>
      </x:c>
      <x:c r="G61" s="3">
        <x:v>260</x:v>
      </x:c>
      <x:c r="H61" s="2" t="s">
        <x:v>18</x:v>
      </x:c>
      <x:c r="I61" s="7">
        <x:v>195</x:v>
      </x:c>
      <x:c r="J61" s="2" t="n">
        <x:v>26</x:v>
      </x:c>
      <x:c r="K61" s="5" t="n">
        <x:f>Tabela1[[#This Row],[Estoque total]]-Tabela1[[#This Row],[Consumo]]</x:f>
        <x:v>234</x:v>
      </x:c>
      <x:c r="L61" s="9" t="n">
        <x:f>(Tabela1[[#This Row],[Valor total]]/Tabela1[[#This Row],[Estoque total]])*Tabela1[[#This Row],[Consumo]]</x:f>
        <x:v>19.5</x:v>
      </x:c>
    </x:row>
    <x:row r="62">
      <x:c r="A62" s="2" t="s">
        <x:v>134</x:v>
      </x:c>
      <x:c r="B62" s="2" t="s">
        <x:v>135</x:v>
      </x:c>
      <x:c r="C62" s="2" t="s">
        <x:v>14</x:v>
      </x:c>
      <x:c r="D62" s="2" t="s">
        <x:v>15</x:v>
      </x:c>
      <x:c r="E62" s="2" t="s">
        <x:v>16</x:v>
      </x:c>
      <x:c r="F62" s="2" t="s">
        <x:v>17</x:v>
      </x:c>
      <x:c r="G62" s="3">
        <x:v>234</x:v>
      </x:c>
      <x:c r="H62" s="2" t="s">
        <x:v>18</x:v>
      </x:c>
      <x:c r="I62" s="7">
        <x:v>306.54000000000002</x:v>
      </x:c>
      <x:c r="J62" s="2" t="n">
        <x:v>58</x:v>
      </x:c>
      <x:c r="K62" s="5" t="n">
        <x:f>Tabela1[[#This Row],[Estoque total]]-Tabela1[[#This Row],[Consumo]]</x:f>
        <x:v>176</x:v>
      </x:c>
      <x:c r="L62" s="9" t="n">
        <x:f>(Tabela1[[#This Row],[Valor total]]/Tabela1[[#This Row],[Estoque total]])*Tabela1[[#This Row],[Consumo]]</x:f>
        <x:v>75.98</x:v>
      </x:c>
    </x:row>
    <x:row r="63">
      <x:c r="A63" s="2" t="s">
        <x:v>136</x:v>
      </x:c>
      <x:c r="B63" s="2" t="s">
        <x:v>137</x:v>
      </x:c>
      <x:c r="C63" s="2" t="s">
        <x:v>14</x:v>
      </x:c>
      <x:c r="D63" s="2" t="s">
        <x:v>15</x:v>
      </x:c>
      <x:c r="E63" s="2" t="s">
        <x:v>16</x:v>
      </x:c>
      <x:c r="F63" s="2" t="s">
        <x:v>17</x:v>
      </x:c>
      <x:c r="G63" s="3">
        <x:v>476</x:v>
      </x:c>
      <x:c r="H63" s="2" t="s">
        <x:v>18</x:v>
      </x:c>
      <x:c r="I63" s="7">
        <x:v>385.77</x:v>
      </x:c>
      <x:c r="J63" s="2"/>
      <x:c r="K63" s="5" t="e">
        <x:f>Tabela1[[#This Row],[Estoque total]]-Tabela1[[#This Row],[Consumo]]</x:f>
        <x:v>#VALUE!</x:v>
      </x:c>
      <x:c r="L63" s="9" t="e">
        <x:f>(Tabela1[[#This Row],[Valor total]]/Tabela1[[#This Row],[Estoque total]])*Tabela1[[#This Row],[Consumo]]</x:f>
        <x:v>#VALUE!</x:v>
      </x:c>
    </x:row>
    <x:row r="64">
      <x:c r="A64" s="2" t="s">
        <x:v>138</x:v>
      </x:c>
      <x:c r="B64" s="2" t="s">
        <x:v>139</x:v>
      </x:c>
      <x:c r="C64" s="2" t="s">
        <x:v>14</x:v>
      </x:c>
      <x:c r="D64" s="2" t="s">
        <x:v>15</x:v>
      </x:c>
      <x:c r="E64" s="2" t="s">
        <x:v>16</x:v>
      </x:c>
      <x:c r="F64" s="2" t="s">
        <x:v>17</x:v>
      </x:c>
      <x:c r="G64" s="3">
        <x:v>856</x:v>
      </x:c>
      <x:c r="H64" s="2" t="s">
        <x:v>18</x:v>
      </x:c>
      <x:c r="I64" s="7">
        <x:v>1311.88</x:v>
      </x:c>
      <x:c r="J64" s="2" t="n">
        <x:v>129</x:v>
      </x:c>
      <x:c r="K64" s="5" t="n">
        <x:f>Tabela1[[#This Row],[Estoque total]]-Tabela1[[#This Row],[Consumo]]</x:f>
        <x:v>727</x:v>
      </x:c>
      <x:c r="L64" s="9" t="n">
        <x:f>(Tabela1[[#This Row],[Valor total]]/Tabela1[[#This Row],[Estoque total]])*Tabela1[[#This Row],[Consumo]]</x:f>
        <x:v>197.70154205607477</x:v>
      </x:c>
    </x:row>
    <x:row r="65">
      <x:c r="A65" s="2" t="s">
        <x:v>140</x:v>
      </x:c>
      <x:c r="B65" s="2" t="s">
        <x:v>141</x:v>
      </x:c>
      <x:c r="C65" s="2" t="s">
        <x:v>14</x:v>
      </x:c>
      <x:c r="D65" s="2" t="s">
        <x:v>15</x:v>
      </x:c>
      <x:c r="E65" s="2" t="s">
        <x:v>16</x:v>
      </x:c>
      <x:c r="F65" s="2" t="s">
        <x:v>17</x:v>
      </x:c>
      <x:c r="G65" s="3">
        <x:v>38</x:v>
      </x:c>
      <x:c r="H65" s="2" t="s">
        <x:v>18</x:v>
      </x:c>
      <x:c r="I65" s="7">
        <x:v>40.659999999999997</x:v>
      </x:c>
      <x:c r="J65" s="2"/>
      <x:c r="K65" s="5" t="e">
        <x:f>Tabela1[[#This Row],[Estoque total]]-Tabela1[[#This Row],[Consumo]]</x:f>
        <x:v>#VALUE!</x:v>
      </x:c>
      <x:c r="L65" s="9" t="e">
        <x:f>(Tabela1[[#This Row],[Valor total]]/Tabela1[[#This Row],[Estoque total]])*Tabela1[[#This Row],[Consumo]]</x:f>
        <x:v>#VALUE!</x:v>
      </x:c>
    </x:row>
    <x:row r="66">
      <x:c r="A66" s="2" t="s">
        <x:v>142</x:v>
      </x:c>
      <x:c r="B66" s="2" t="s">
        <x:v>143</x:v>
      </x:c>
      <x:c r="C66" s="2" t="s">
        <x:v>14</x:v>
      </x:c>
      <x:c r="D66" s="2" t="s">
        <x:v>15</x:v>
      </x:c>
      <x:c r="E66" s="2" t="s">
        <x:v>16</x:v>
      </x:c>
      <x:c r="F66" s="2" t="s">
        <x:v>17</x:v>
      </x:c>
      <x:c r="G66" s="3">
        <x:v>72</x:v>
      </x:c>
      <x:c r="H66" s="2" t="s">
        <x:v>18</x:v>
      </x:c>
      <x:c r="I66" s="7">
        <x:v>82.8</x:v>
      </x:c>
      <x:c r="J66" s="2"/>
      <x:c r="K66" s="5" t="e">
        <x:f>Tabela1[[#This Row],[Estoque total]]-Tabela1[[#This Row],[Consumo]]</x:f>
        <x:v>#VALUE!</x:v>
      </x:c>
      <x:c r="L66" s="9" t="e">
        <x:f>(Tabela1[[#This Row],[Valor total]]/Tabela1[[#This Row],[Estoque total]])*Tabela1[[#This Row],[Consumo]]</x:f>
        <x:v>#VALUE!</x:v>
      </x:c>
    </x:row>
    <x:row r="67">
      <x:c r="A67" s="2" t="s">
        <x:v>144</x:v>
      </x:c>
      <x:c r="B67" s="2" t="s">
        <x:v>145</x:v>
      </x:c>
      <x:c r="C67" s="2" t="s">
        <x:v>14</x:v>
      </x:c>
      <x:c r="D67" s="2" t="s">
        <x:v>15</x:v>
      </x:c>
      <x:c r="E67" s="2" t="s">
        <x:v>16</x:v>
      </x:c>
      <x:c r="F67" s="2" t="s">
        <x:v>17</x:v>
      </x:c>
      <x:c r="G67" s="3">
        <x:v>39</x:v>
      </x:c>
      <x:c r="H67" s="2" t="s">
        <x:v>18</x:v>
      </x:c>
      <x:c r="I67" s="7">
        <x:v>46.8</x:v>
      </x:c>
      <x:c r="J67" s="2"/>
      <x:c r="K67" s="5" t="e">
        <x:f>Tabela1[[#This Row],[Estoque total]]-Tabela1[[#This Row],[Consumo]]</x:f>
        <x:v>#VALUE!</x:v>
      </x:c>
      <x:c r="L67" s="9" t="e">
        <x:f>(Tabela1[[#This Row],[Valor total]]/Tabela1[[#This Row],[Estoque total]])*Tabela1[[#This Row],[Consumo]]</x:f>
        <x:v>#VALUE!</x:v>
      </x:c>
    </x:row>
    <x:row r="68">
      <x:c r="A68" s="2" t="s">
        <x:v>146</x:v>
      </x:c>
      <x:c r="B68" s="2" t="s">
        <x:v>147</x:v>
      </x:c>
      <x:c r="C68" s="2" t="s">
        <x:v>14</x:v>
      </x:c>
      <x:c r="D68" s="2" t="s">
        <x:v>15</x:v>
      </x:c>
      <x:c r="E68" s="2" t="s">
        <x:v>16</x:v>
      </x:c>
      <x:c r="F68" s="2" t="s">
        <x:v>17</x:v>
      </x:c>
      <x:c r="G68" s="3">
        <x:v>86</x:v>
      </x:c>
      <x:c r="H68" s="2" t="s">
        <x:v>18</x:v>
      </x:c>
      <x:c r="I68" s="7">
        <x:v>108.36</x:v>
      </x:c>
      <x:c r="J68" s="2"/>
      <x:c r="K68" s="5" t="e">
        <x:f>Tabela1[[#This Row],[Estoque total]]-Tabela1[[#This Row],[Consumo]]</x:f>
        <x:v>#VALUE!</x:v>
      </x:c>
      <x:c r="L68" s="9" t="e">
        <x:f>(Tabela1[[#This Row],[Valor total]]/Tabela1[[#This Row],[Estoque total]])*Tabela1[[#This Row],[Consumo]]</x:f>
        <x:v>#VALUE!</x:v>
      </x:c>
    </x:row>
    <x:row r="69">
      <x:c r="A69" s="2" t="s">
        <x:v>148</x:v>
      </x:c>
      <x:c r="B69" s="2" t="s">
        <x:v>149</x:v>
      </x:c>
      <x:c r="C69" s="2" t="s">
        <x:v>14</x:v>
      </x:c>
      <x:c r="D69" s="2" t="s">
        <x:v>15</x:v>
      </x:c>
      <x:c r="E69" s="2" t="s">
        <x:v>16</x:v>
      </x:c>
      <x:c r="F69" s="2" t="s">
        <x:v>17</x:v>
      </x:c>
      <x:c r="G69" s="3">
        <x:v>296</x:v>
      </x:c>
      <x:c r="H69" s="2" t="s">
        <x:v>18</x:v>
      </x:c>
      <x:c r="I69" s="7">
        <x:v>353.56</x:v>
      </x:c>
      <x:c r="J69" s="2" t="n">
        <x:v>20</x:v>
      </x:c>
      <x:c r="K69" s="5" t="n">
        <x:f>Tabela1[[#This Row],[Estoque total]]-Tabela1[[#This Row],[Consumo]]</x:f>
        <x:v>276</x:v>
      </x:c>
      <x:c r="L69" s="9" t="n">
        <x:f>(Tabela1[[#This Row],[Valor total]]/Tabela1[[#This Row],[Estoque total]])*Tabela1[[#This Row],[Consumo]]</x:f>
        <x:v>23.88918918918919</x:v>
      </x:c>
    </x:row>
    <x:row r="70">
      <x:c r="A70" s="2" t="s">
        <x:v>150</x:v>
      </x:c>
      <x:c r="B70" s="2" t="s">
        <x:v>151</x:v>
      </x:c>
      <x:c r="C70" s="2" t="s">
        <x:v>14</x:v>
      </x:c>
      <x:c r="D70" s="2" t="s">
        <x:v>15</x:v>
      </x:c>
      <x:c r="E70" s="2" t="s">
        <x:v>16</x:v>
      </x:c>
      <x:c r="F70" s="2" t="s">
        <x:v>17</x:v>
      </x:c>
      <x:c r="G70" s="3">
        <x:v>132</x:v>
      </x:c>
      <x:c r="H70" s="2" t="s">
        <x:v>18</x:v>
      </x:c>
      <x:c r="I70" s="7">
        <x:v>338.03</x:v>
      </x:c>
      <x:c r="J70" s="2"/>
      <x:c r="K70" s="5" t="e">
        <x:f>Tabela1[[#This Row],[Estoque total]]-Tabela1[[#This Row],[Consumo]]</x:f>
        <x:v>#VALUE!</x:v>
      </x:c>
      <x:c r="L70" s="9" t="e">
        <x:f>(Tabela1[[#This Row],[Valor total]]/Tabela1[[#This Row],[Estoque total]])*Tabela1[[#This Row],[Consumo]]</x:f>
        <x:v>#VALUE!</x:v>
      </x:c>
    </x:row>
    <x:row r="71">
      <x:c r="A71" s="2" t="s">
        <x:v>152</x:v>
      </x:c>
      <x:c r="B71" s="2" t="s">
        <x:v>153</x:v>
      </x:c>
      <x:c r="C71" s="2" t="s">
        <x:v>14</x:v>
      </x:c>
      <x:c r="D71" s="2" t="s">
        <x:v>15</x:v>
      </x:c>
      <x:c r="E71" s="2" t="s">
        <x:v>16</x:v>
      </x:c>
      <x:c r="F71" s="2" t="s">
        <x:v>17</x:v>
      </x:c>
      <x:c r="G71" s="3">
        <x:v>21</x:v>
      </x:c>
      <x:c r="H71" s="2" t="s">
        <x:v>18</x:v>
      </x:c>
      <x:c r="I71" s="7">
        <x:v>28.56</x:v>
      </x:c>
      <x:c r="J71" s="2"/>
      <x:c r="K71" s="5" t="e">
        <x:f>Tabela1[[#This Row],[Estoque total]]-Tabela1[[#This Row],[Consumo]]</x:f>
        <x:v>#VALUE!</x:v>
      </x:c>
      <x:c r="L71" s="9" t="e">
        <x:f>(Tabela1[[#This Row],[Valor total]]/Tabela1[[#This Row],[Estoque total]])*Tabela1[[#This Row],[Consumo]]</x:f>
        <x:v>#VALUE!</x:v>
      </x:c>
    </x:row>
    <x:row r="72">
      <x:c r="A72" s="2" t="s">
        <x:v>154</x:v>
      </x:c>
      <x:c r="B72" s="2" t="s">
        <x:v>155</x:v>
      </x:c>
      <x:c r="C72" s="2" t="s">
        <x:v>14</x:v>
      </x:c>
      <x:c r="D72" s="2" t="s">
        <x:v>15</x:v>
      </x:c>
      <x:c r="E72" s="2" t="s">
        <x:v>16</x:v>
      </x:c>
      <x:c r="F72" s="2" t="s">
        <x:v>17</x:v>
      </x:c>
      <x:c r="G72" s="3">
        <x:v>67</x:v>
      </x:c>
      <x:c r="H72" s="2" t="s">
        <x:v>18</x:v>
      </x:c>
      <x:c r="I72" s="7">
        <x:v>131.34</x:v>
      </x:c>
      <x:c r="J72" s="2" t="n">
        <x:v>5</x:v>
      </x:c>
      <x:c r="K72" s="5" t="n">
        <x:f>Tabela1[[#This Row],[Estoque total]]-Tabela1[[#This Row],[Consumo]]</x:f>
        <x:v>62</x:v>
      </x:c>
      <x:c r="L72" s="9" t="n">
        <x:f>(Tabela1[[#This Row],[Valor total]]/Tabela1[[#This Row],[Estoque total]])*Tabela1[[#This Row],[Consumo]]</x:f>
        <x:v>9.801492537313433</x:v>
      </x:c>
    </x:row>
    <x:row r="73">
      <x:c r="A73" s="2" t="s">
        <x:v>156</x:v>
      </x:c>
      <x:c r="B73" s="2" t="s">
        <x:v>157</x:v>
      </x:c>
      <x:c r="C73" s="2" t="s">
        <x:v>14</x:v>
      </x:c>
      <x:c r="D73" s="2" t="s">
        <x:v>15</x:v>
      </x:c>
      <x:c r="E73" s="2" t="s">
        <x:v>16</x:v>
      </x:c>
      <x:c r="F73" s="2" t="s">
        <x:v>17</x:v>
      </x:c>
      <x:c r="G73" s="3">
        <x:v>65</x:v>
      </x:c>
      <x:c r="H73" s="2" t="s">
        <x:v>18</x:v>
      </x:c>
      <x:c r="I73" s="7">
        <x:v>247.29</x:v>
      </x:c>
      <x:c r="J73" s="2" t="n">
        <x:v>5</x:v>
      </x:c>
      <x:c r="K73" s="5" t="n">
        <x:f>Tabela1[[#This Row],[Estoque total]]-Tabela1[[#This Row],[Consumo]]</x:f>
        <x:v>60</x:v>
      </x:c>
      <x:c r="L73" s="9" t="n">
        <x:f>(Tabela1[[#This Row],[Valor total]]/Tabela1[[#This Row],[Estoque total]])*Tabela1[[#This Row],[Consumo]]</x:f>
        <x:v>19.02230769230769</x:v>
      </x:c>
    </x:row>
    <x:row r="74">
      <x:c r="A74" s="2" t="s">
        <x:v>158</x:v>
      </x:c>
      <x:c r="B74" s="2" t="s">
        <x:v>159</x:v>
      </x:c>
      <x:c r="C74" s="2" t="s">
        <x:v>14</x:v>
      </x:c>
      <x:c r="D74" s="2" t="s">
        <x:v>15</x:v>
      </x:c>
      <x:c r="E74" s="2" t="s">
        <x:v>16</x:v>
      </x:c>
      <x:c r="F74" s="2" t="s">
        <x:v>17</x:v>
      </x:c>
      <x:c r="G74" s="3">
        <x:v>126</x:v>
      </x:c>
      <x:c r="H74" s="2" t="s">
        <x:v>18</x:v>
      </x:c>
      <x:c r="I74" s="7">
        <x:v>142.38</x:v>
      </x:c>
      <x:c r="J74" s="2"/>
      <x:c r="K74" s="5" t="e">
        <x:f>Tabela1[[#This Row],[Estoque total]]-Tabela1[[#This Row],[Consumo]]</x:f>
        <x:v>#VALUE!</x:v>
      </x:c>
      <x:c r="L74" s="9" t="e">
        <x:f>(Tabela1[[#This Row],[Valor total]]/Tabela1[[#This Row],[Estoque total]])*Tabela1[[#This Row],[Consumo]]</x:f>
        <x:v>#VALUE!</x:v>
      </x:c>
    </x:row>
    <x:row r="75">
      <x:c r="A75" s="2" t="s">
        <x:v>160</x:v>
      </x:c>
      <x:c r="B75" s="2" t="s">
        <x:v>161</x:v>
      </x:c>
      <x:c r="C75" s="2" t="s">
        <x:v>14</x:v>
      </x:c>
      <x:c r="D75" s="2" t="s">
        <x:v>15</x:v>
      </x:c>
      <x:c r="E75" s="2" t="s">
        <x:v>16</x:v>
      </x:c>
      <x:c r="F75" s="2" t="s">
        <x:v>17</x:v>
      </x:c>
      <x:c r="G75" s="3">
        <x:v>102</x:v>
      </x:c>
      <x:c r="H75" s="2" t="s">
        <x:v>18</x:v>
      </x:c>
      <x:c r="I75" s="7">
        <x:v>742.56</x:v>
      </x:c>
      <x:c r="J75" s="2"/>
      <x:c r="K75" s="5" t="e">
        <x:f>Tabela1[[#This Row],[Estoque total]]-Tabela1[[#This Row],[Consumo]]</x:f>
        <x:v>#VALUE!</x:v>
      </x:c>
      <x:c r="L75" s="9" t="e">
        <x:f>(Tabela1[[#This Row],[Valor total]]/Tabela1[[#This Row],[Estoque total]])*Tabela1[[#This Row],[Consumo]]</x:f>
        <x:v>#VALUE!</x:v>
      </x:c>
    </x:row>
    <x:row r="76">
      <x:c r="A76" s="2" t="s">
        <x:v>162</x:v>
      </x:c>
      <x:c r="B76" s="2" t="s">
        <x:v>163</x:v>
      </x:c>
      <x:c r="C76" s="2" t="s">
        <x:v>14</x:v>
      </x:c>
      <x:c r="D76" s="2" t="s">
        <x:v>15</x:v>
      </x:c>
      <x:c r="E76" s="2" t="s">
        <x:v>16</x:v>
      </x:c>
      <x:c r="F76" s="2" t="s">
        <x:v>17</x:v>
      </x:c>
      <x:c r="G76" s="3">
        <x:v>2</x:v>
      </x:c>
      <x:c r="H76" s="2" t="s">
        <x:v>18</x:v>
      </x:c>
      <x:c r="I76" s="7">
        <x:v>16.7</x:v>
      </x:c>
      <x:c r="J76" s="2"/>
      <x:c r="K76" s="5" t="e">
        <x:f>Tabela1[[#This Row],[Estoque total]]-Tabela1[[#This Row],[Consumo]]</x:f>
        <x:v>#VALUE!</x:v>
      </x:c>
      <x:c r="L76" s="9" t="e">
        <x:f>(Tabela1[[#This Row],[Valor total]]/Tabela1[[#This Row],[Estoque total]])*Tabela1[[#This Row],[Consumo]]</x:f>
        <x:v>#VALUE!</x:v>
      </x:c>
    </x:row>
    <x:row r="77">
      <x:c r="A77" s="2" t="s">
        <x:v>164</x:v>
      </x:c>
      <x:c r="B77" s="2" t="s">
        <x:v>165</x:v>
      </x:c>
      <x:c r="C77" s="2" t="s">
        <x:v>14</x:v>
      </x:c>
      <x:c r="D77" s="2" t="s">
        <x:v>15</x:v>
      </x:c>
      <x:c r="E77" s="2" t="s">
        <x:v>16</x:v>
      </x:c>
      <x:c r="F77" s="2" t="s">
        <x:v>17</x:v>
      </x:c>
      <x:c r="G77" s="3">
        <x:v>76</x:v>
      </x:c>
      <x:c r="H77" s="2" t="s">
        <x:v>18</x:v>
      </x:c>
      <x:c r="I77" s="7">
        <x:v>145.16</x:v>
      </x:c>
      <x:c r="J77" s="2"/>
      <x:c r="K77" s="5" t="e">
        <x:f>Tabela1[[#This Row],[Estoque total]]-Tabela1[[#This Row],[Consumo]]</x:f>
        <x:v>#VALUE!</x:v>
      </x:c>
      <x:c r="L77" s="9" t="e">
        <x:f>(Tabela1[[#This Row],[Valor total]]/Tabela1[[#This Row],[Estoque total]])*Tabela1[[#This Row],[Consumo]]</x:f>
        <x:v>#VALUE!</x:v>
      </x:c>
    </x:row>
    <x:row r="78">
      <x:c r="A78" s="2" t="s">
        <x:v>166</x:v>
      </x:c>
      <x:c r="B78" s="2" t="s">
        <x:v>167</x:v>
      </x:c>
      <x:c r="C78" s="2" t="s">
        <x:v>14</x:v>
      </x:c>
      <x:c r="D78" s="2" t="s">
        <x:v>15</x:v>
      </x:c>
      <x:c r="E78" s="2" t="s">
        <x:v>16</x:v>
      </x:c>
      <x:c r="F78" s="2" t="s">
        <x:v>17</x:v>
      </x:c>
      <x:c r="G78" s="3">
        <x:v>234</x:v>
      </x:c>
      <x:c r="H78" s="2" t="s">
        <x:v>18</x:v>
      </x:c>
      <x:c r="I78" s="7">
        <x:v>168.48</x:v>
      </x:c>
      <x:c r="J78" s="2"/>
      <x:c r="K78" s="5" t="e">
        <x:f>Tabela1[[#This Row],[Estoque total]]-Tabela1[[#This Row],[Consumo]]</x:f>
        <x:v>#VALUE!</x:v>
      </x:c>
      <x:c r="L78" s="9" t="e">
        <x:f>(Tabela1[[#This Row],[Valor total]]/Tabela1[[#This Row],[Estoque total]])*Tabela1[[#This Row],[Consumo]]</x:f>
        <x:v>#VALUE!</x:v>
      </x:c>
    </x:row>
    <x:row r="79">
      <x:c r="A79" s="2" t="s">
        <x:v>168</x:v>
      </x:c>
      <x:c r="B79" s="2" t="s">
        <x:v>169</x:v>
      </x:c>
      <x:c r="C79" s="2" t="s">
        <x:v>14</x:v>
      </x:c>
      <x:c r="D79" s="2" t="s">
        <x:v>15</x:v>
      </x:c>
      <x:c r="E79" s="2" t="s">
        <x:v>16</x:v>
      </x:c>
      <x:c r="F79" s="2" t="s">
        <x:v>17</x:v>
      </x:c>
      <x:c r="G79" s="3">
        <x:v>262</x:v>
      </x:c>
      <x:c r="H79" s="2" t="s">
        <x:v>18</x:v>
      </x:c>
      <x:c r="I79" s="7">
        <x:v>151.96</x:v>
      </x:c>
      <x:c r="J79" s="2"/>
      <x:c r="K79" s="5" t="e">
        <x:f>Tabela1[[#This Row],[Estoque total]]-Tabela1[[#This Row],[Consumo]]</x:f>
        <x:v>#VALUE!</x:v>
      </x:c>
      <x:c r="L79" s="9" t="e">
        <x:f>(Tabela1[[#This Row],[Valor total]]/Tabela1[[#This Row],[Estoque total]])*Tabela1[[#This Row],[Consumo]]</x:f>
        <x:v>#VALUE!</x:v>
      </x:c>
    </x:row>
    <x:row r="80">
      <x:c r="A80" s="2" t="s">
        <x:v>170</x:v>
      </x:c>
      <x:c r="B80" s="2" t="s">
        <x:v>171</x:v>
      </x:c>
      <x:c r="C80" s="2" t="s">
        <x:v>14</x:v>
      </x:c>
      <x:c r="D80" s="2" t="s">
        <x:v>15</x:v>
      </x:c>
      <x:c r="E80" s="2" t="s">
        <x:v>16</x:v>
      </x:c>
      <x:c r="F80" s="2" t="s">
        <x:v>17</x:v>
      </x:c>
      <x:c r="G80" s="3">
        <x:v>551</x:v>
      </x:c>
      <x:c r="H80" s="2" t="s">
        <x:v>18</x:v>
      </x:c>
      <x:c r="I80" s="7">
        <x:v>303.05</x:v>
      </x:c>
      <x:c r="J80" s="2"/>
      <x:c r="K80" s="5" t="e">
        <x:f>Tabela1[[#This Row],[Estoque total]]-Tabela1[[#This Row],[Consumo]]</x:f>
        <x:v>#VALUE!</x:v>
      </x:c>
      <x:c r="L80" s="9" t="e">
        <x:f>(Tabela1[[#This Row],[Valor total]]/Tabela1[[#This Row],[Estoque total]])*Tabela1[[#This Row],[Consumo]]</x:f>
        <x:v>#VALUE!</x:v>
      </x:c>
    </x:row>
    <x:row r="81">
      <x:c r="A81" s="2" t="s">
        <x:v>172</x:v>
      </x:c>
      <x:c r="B81" s="2" t="s">
        <x:v>173</x:v>
      </x:c>
      <x:c r="C81" s="2" t="s">
        <x:v>14</x:v>
      </x:c>
      <x:c r="D81" s="2" t="s">
        <x:v>15</x:v>
      </x:c>
      <x:c r="E81" s="2" t="s">
        <x:v>16</x:v>
      </x:c>
      <x:c r="F81" s="2" t="s">
        <x:v>17</x:v>
      </x:c>
      <x:c r="G81" s="3">
        <x:v>285</x:v>
      </x:c>
      <x:c r="H81" s="2" t="s">
        <x:v>18</x:v>
      </x:c>
      <x:c r="I81" s="7">
        <x:v>195.58</x:v>
      </x:c>
      <x:c r="J81" s="2"/>
      <x:c r="K81" s="5" t="e">
        <x:f>Tabela1[[#This Row],[Estoque total]]-Tabela1[[#This Row],[Consumo]]</x:f>
        <x:v>#VALUE!</x:v>
      </x:c>
      <x:c r="L81" s="9" t="e">
        <x:f>(Tabela1[[#This Row],[Valor total]]/Tabela1[[#This Row],[Estoque total]])*Tabela1[[#This Row],[Consumo]]</x:f>
        <x:v>#VALUE!</x:v>
      </x:c>
    </x:row>
    <x:row r="82">
      <x:c r="A82" s="2" t="s">
        <x:v>174</x:v>
      </x:c>
      <x:c r="B82" s="2" t="s">
        <x:v>175</x:v>
      </x:c>
      <x:c r="C82" s="2" t="s">
        <x:v>14</x:v>
      </x:c>
      <x:c r="D82" s="2" t="s">
        <x:v>15</x:v>
      </x:c>
      <x:c r="E82" s="2" t="s">
        <x:v>16</x:v>
      </x:c>
      <x:c r="F82" s="2" t="s">
        <x:v>17</x:v>
      </x:c>
      <x:c r="G82" s="3">
        <x:v>478</x:v>
      </x:c>
      <x:c r="H82" s="2" t="s">
        <x:v>18</x:v>
      </x:c>
      <x:c r="I82" s="7">
        <x:v>219.88</x:v>
      </x:c>
      <x:c r="J82" s="2"/>
      <x:c r="K82" s="5" t="e">
        <x:f>Tabela1[[#This Row],[Estoque total]]-Tabela1[[#This Row],[Consumo]]</x:f>
        <x:v>#VALUE!</x:v>
      </x:c>
      <x:c r="L82" s="9" t="e">
        <x:f>(Tabela1[[#This Row],[Valor total]]/Tabela1[[#This Row],[Estoque total]])*Tabela1[[#This Row],[Consumo]]</x:f>
        <x:v>#VALUE!</x:v>
      </x:c>
    </x:row>
    <x:row r="83">
      <x:c r="A83" s="2" t="s">
        <x:v>176</x:v>
      </x:c>
      <x:c r="B83" s="2" t="s">
        <x:v>177</x:v>
      </x:c>
      <x:c r="C83" s="2" t="s">
        <x:v>14</x:v>
      </x:c>
      <x:c r="D83" s="2" t="s">
        <x:v>15</x:v>
      </x:c>
      <x:c r="E83" s="2" t="s">
        <x:v>16</x:v>
      </x:c>
      <x:c r="F83" s="2" t="s">
        <x:v>17</x:v>
      </x:c>
      <x:c r="G83" s="3">
        <x:v>136</x:v>
      </x:c>
      <x:c r="H83" s="2" t="s">
        <x:v>18</x:v>
      </x:c>
      <x:c r="I83" s="7">
        <x:v>127.84</x:v>
      </x:c>
      <x:c r="J83" s="2"/>
      <x:c r="K83" s="5" t="e">
        <x:f>Tabela1[[#This Row],[Estoque total]]-Tabela1[[#This Row],[Consumo]]</x:f>
        <x:v>#VALUE!</x:v>
      </x:c>
      <x:c r="L83" s="9" t="e">
        <x:f>(Tabela1[[#This Row],[Valor total]]/Tabela1[[#This Row],[Estoque total]])*Tabela1[[#This Row],[Consumo]]</x:f>
        <x:v>#VALUE!</x:v>
      </x:c>
    </x:row>
    <x:row r="84">
      <x:c r="A84" s="2" t="s">
        <x:v>178</x:v>
      </x:c>
      <x:c r="B84" s="2" t="s">
        <x:v>179</x:v>
      </x:c>
      <x:c r="C84" s="2" t="s">
        <x:v>14</x:v>
      </x:c>
      <x:c r="D84" s="2" t="s">
        <x:v>15</x:v>
      </x:c>
      <x:c r="E84" s="2" t="s">
        <x:v>16</x:v>
      </x:c>
      <x:c r="F84" s="2" t="s">
        <x:v>17</x:v>
      </x:c>
      <x:c r="G84" s="3">
        <x:v>10</x:v>
      </x:c>
      <x:c r="H84" s="2" t="s">
        <x:v>18</x:v>
      </x:c>
      <x:c r="I84" s="7">
        <x:v>10.1</x:v>
      </x:c>
      <x:c r="J84" s="2"/>
      <x:c r="K84" s="5" t="e">
        <x:f>Tabela1[[#This Row],[Estoque total]]-Tabela1[[#This Row],[Consumo]]</x:f>
        <x:v>#VALUE!</x:v>
      </x:c>
      <x:c r="L84" s="9" t="e">
        <x:f>(Tabela1[[#This Row],[Valor total]]/Tabela1[[#This Row],[Estoque total]])*Tabela1[[#This Row],[Consumo]]</x:f>
        <x:v>#VALUE!</x:v>
      </x:c>
    </x:row>
    <x:row r="85">
      <x:c r="A85" s="2" t="s">
        <x:v>180</x:v>
      </x:c>
      <x:c r="B85" s="2" t="s">
        <x:v>181</x:v>
      </x:c>
      <x:c r="C85" s="2" t="s">
        <x:v>14</x:v>
      </x:c>
      <x:c r="D85" s="2" t="s">
        <x:v>15</x:v>
      </x:c>
      <x:c r="E85" s="2" t="s">
        <x:v>16</x:v>
      </x:c>
      <x:c r="F85" s="2" t="s">
        <x:v>17</x:v>
      </x:c>
      <x:c r="G85" s="3">
        <x:v>24</x:v>
      </x:c>
      <x:c r="H85" s="2" t="s">
        <x:v>18</x:v>
      </x:c>
      <x:c r="I85" s="7">
        <x:v>1.44</x:v>
      </x:c>
      <x:c r="J85" s="2"/>
      <x:c r="K85" s="5" t="e">
        <x:f>Tabela1[[#This Row],[Estoque total]]-Tabela1[[#This Row],[Consumo]]</x:f>
        <x:v>#VALUE!</x:v>
      </x:c>
      <x:c r="L85" s="9" t="e">
        <x:f>(Tabela1[[#This Row],[Valor total]]/Tabela1[[#This Row],[Estoque total]])*Tabela1[[#This Row],[Consumo]]</x:f>
        <x:v>#VALUE!</x:v>
      </x:c>
    </x:row>
    <x:row r="86">
      <x:c r="A86" s="2" t="s">
        <x:v>182</x:v>
      </x:c>
      <x:c r="B86" s="2" t="s">
        <x:v>183</x:v>
      </x:c>
      <x:c r="C86" s="2" t="s">
        <x:v>14</x:v>
      </x:c>
      <x:c r="D86" s="2" t="s">
        <x:v>15</x:v>
      </x:c>
      <x:c r="E86" s="2" t="s">
        <x:v>16</x:v>
      </x:c>
      <x:c r="F86" s="2" t="s">
        <x:v>17</x:v>
      </x:c>
      <x:c r="G86" s="3">
        <x:v>24</x:v>
      </x:c>
      <x:c r="H86" s="2" t="s">
        <x:v>18</x:v>
      </x:c>
      <x:c r="I86" s="7">
        <x:v>20.16</x:v>
      </x:c>
      <x:c r="J86" s="2"/>
      <x:c r="K86" s="5" t="e">
        <x:f>Tabela1[[#This Row],[Estoque total]]-Tabela1[[#This Row],[Consumo]]</x:f>
        <x:v>#VALUE!</x:v>
      </x:c>
      <x:c r="L86" s="9" t="e">
        <x:f>(Tabela1[[#This Row],[Valor total]]/Tabela1[[#This Row],[Estoque total]])*Tabela1[[#This Row],[Consumo]]</x:f>
        <x:v>#VALUE!</x:v>
      </x:c>
    </x:row>
    <x:row r="87">
      <x:c r="A87" s="2" t="s">
        <x:v>184</x:v>
      </x:c>
      <x:c r="B87" s="2" t="s">
        <x:v>185</x:v>
      </x:c>
      <x:c r="C87" s="2" t="s">
        <x:v>14</x:v>
      </x:c>
      <x:c r="D87" s="2" t="s">
        <x:v>15</x:v>
      </x:c>
      <x:c r="E87" s="2" t="s">
        <x:v>16</x:v>
      </x:c>
      <x:c r="F87" s="2" t="s">
        <x:v>17</x:v>
      </x:c>
      <x:c r="G87" s="3">
        <x:v>238</x:v>
      </x:c>
      <x:c r="H87" s="2" t="s">
        <x:v>18</x:v>
      </x:c>
      <x:c r="I87" s="7">
        <x:v>121.38</x:v>
      </x:c>
      <x:c r="J87" s="2"/>
      <x:c r="K87" s="5" t="e">
        <x:f>Tabela1[[#This Row],[Estoque total]]-Tabela1[[#This Row],[Consumo]]</x:f>
        <x:v>#VALUE!</x:v>
      </x:c>
      <x:c r="L87" s="9" t="e">
        <x:f>(Tabela1[[#This Row],[Valor total]]/Tabela1[[#This Row],[Estoque total]])*Tabela1[[#This Row],[Consumo]]</x:f>
        <x:v>#VALUE!</x:v>
      </x:c>
    </x:row>
    <x:row r="88">
      <x:c r="A88" s="2" t="s">
        <x:v>186</x:v>
      </x:c>
      <x:c r="B88" s="2" t="s">
        <x:v>187</x:v>
      </x:c>
      <x:c r="C88" s="2" t="s">
        <x:v>14</x:v>
      </x:c>
      <x:c r="D88" s="2" t="s">
        <x:v>15</x:v>
      </x:c>
      <x:c r="E88" s="2" t="s">
        <x:v>16</x:v>
      </x:c>
      <x:c r="F88" s="2" t="s">
        <x:v>17</x:v>
      </x:c>
      <x:c r="G88" s="3">
        <x:v>48</x:v>
      </x:c>
      <x:c r="H88" s="2" t="s">
        <x:v>18</x:v>
      </x:c>
      <x:c r="I88" s="7">
        <x:v>27.84</x:v>
      </x:c>
      <x:c r="J88" s="2"/>
      <x:c r="K88" s="5" t="e">
        <x:f>Tabela1[[#This Row],[Estoque total]]-Tabela1[[#This Row],[Consumo]]</x:f>
        <x:v>#VALUE!</x:v>
      </x:c>
      <x:c r="L88" s="9" t="e">
        <x:f>(Tabela1[[#This Row],[Valor total]]/Tabela1[[#This Row],[Estoque total]])*Tabela1[[#This Row],[Consumo]]</x:f>
        <x:v>#VALUE!</x:v>
      </x:c>
    </x:row>
    <x:row r="89">
      <x:c r="A89" s="2" t="s">
        <x:v>188</x:v>
      </x:c>
      <x:c r="B89" s="2" t="s">
        <x:v>189</x:v>
      </x:c>
      <x:c r="C89" s="2" t="s">
        <x:v>14</x:v>
      </x:c>
      <x:c r="D89" s="2" t="s">
        <x:v>15</x:v>
      </x:c>
      <x:c r="E89" s="2" t="s">
        <x:v>16</x:v>
      </x:c>
      <x:c r="F89" s="2" t="s">
        <x:v>17</x:v>
      </x:c>
      <x:c r="G89" s="3">
        <x:v>42</x:v>
      </x:c>
      <x:c r="H89" s="2" t="s">
        <x:v>18</x:v>
      </x:c>
      <x:c r="I89" s="7">
        <x:v>24.78</x:v>
      </x:c>
      <x:c r="J89" s="2"/>
      <x:c r="K89" s="5" t="e">
        <x:f>Tabela1[[#This Row],[Estoque total]]-Tabela1[[#This Row],[Consumo]]</x:f>
        <x:v>#VALUE!</x:v>
      </x:c>
      <x:c r="L89" s="9" t="e">
        <x:f>(Tabela1[[#This Row],[Valor total]]/Tabela1[[#This Row],[Estoque total]])*Tabela1[[#This Row],[Consumo]]</x:f>
        <x:v>#VALUE!</x:v>
      </x:c>
    </x:row>
    <x:row r="90">
      <x:c r="A90" s="2" t="s">
        <x:v>190</x:v>
      </x:c>
      <x:c r="B90" s="2" t="s">
        <x:v>191</x:v>
      </x:c>
      <x:c r="C90" s="2" t="s">
        <x:v>14</x:v>
      </x:c>
      <x:c r="D90" s="2" t="s">
        <x:v>15</x:v>
      </x:c>
      <x:c r="E90" s="2" t="s">
        <x:v>16</x:v>
      </x:c>
      <x:c r="F90" s="2" t="s">
        <x:v>17</x:v>
      </x:c>
      <x:c r="G90" s="3">
        <x:v>24</x:v>
      </x:c>
      <x:c r="H90" s="2" t="s">
        <x:v>18</x:v>
      </x:c>
      <x:c r="I90" s="7">
        <x:v>107.28</x:v>
      </x:c>
      <x:c r="J90" s="2"/>
      <x:c r="K90" s="5" t="e">
        <x:f>Tabela1[[#This Row],[Estoque total]]-Tabela1[[#This Row],[Consumo]]</x:f>
        <x:v>#VALUE!</x:v>
      </x:c>
      <x:c r="L90" s="9" t="e">
        <x:f>(Tabela1[[#This Row],[Valor total]]/Tabela1[[#This Row],[Estoque total]])*Tabela1[[#This Row],[Consumo]]</x:f>
        <x:v>#VALUE!</x:v>
      </x:c>
    </x:row>
    <x:row r="91">
      <x:c r="A91" s="2" t="s">
        <x:v>192</x:v>
      </x:c>
      <x:c r="B91" s="2" t="s">
        <x:v>193</x:v>
      </x:c>
      <x:c r="C91" s="2" t="s">
        <x:v>14</x:v>
      </x:c>
      <x:c r="D91" s="2" t="s">
        <x:v>15</x:v>
      </x:c>
      <x:c r="E91" s="2" t="s">
        <x:v>16</x:v>
      </x:c>
      <x:c r="F91" s="2" t="s">
        <x:v>17</x:v>
      </x:c>
      <x:c r="G91" s="3">
        <x:v>24</x:v>
      </x:c>
      <x:c r="H91" s="2" t="s">
        <x:v>18</x:v>
      </x:c>
      <x:c r="I91" s="7">
        <x:v>356.64</x:v>
      </x:c>
      <x:c r="J91" s="2"/>
      <x:c r="K91" s="5" t="e">
        <x:f>Tabela1[[#This Row],[Estoque total]]-Tabela1[[#This Row],[Consumo]]</x:f>
        <x:v>#VALUE!</x:v>
      </x:c>
      <x:c r="L91" s="9" t="e">
        <x:f>(Tabela1[[#This Row],[Valor total]]/Tabela1[[#This Row],[Estoque total]])*Tabela1[[#This Row],[Consumo]]</x:f>
        <x:v>#VALUE!</x:v>
      </x:c>
    </x:row>
    <x:row r="92">
      <x:c r="A92" s="2" t="s">
        <x:v>194</x:v>
      </x:c>
      <x:c r="B92" s="2" t="s">
        <x:v>195</x:v>
      </x:c>
      <x:c r="C92" s="2" t="s">
        <x:v>14</x:v>
      </x:c>
      <x:c r="D92" s="2" t="s">
        <x:v>15</x:v>
      </x:c>
      <x:c r="E92" s="2" t="s">
        <x:v>16</x:v>
      </x:c>
      <x:c r="F92" s="2" t="s">
        <x:v>17</x:v>
      </x:c>
      <x:c r="G92" s="3">
        <x:v>390</x:v>
      </x:c>
      <x:c r="H92" s="2" t="s">
        <x:v>18</x:v>
      </x:c>
      <x:c r="I92" s="7">
        <x:v>1267.03</x:v>
      </x:c>
      <x:c r="J92" s="2" t="n">
        <x:v>50</x:v>
      </x:c>
      <x:c r="K92" s="5" t="n">
        <x:f>Tabela1[[#This Row],[Estoque total]]-Tabela1[[#This Row],[Consumo]]</x:f>
        <x:v>340</x:v>
      </x:c>
      <x:c r="L92" s="9" t="n">
        <x:f>(Tabela1[[#This Row],[Valor total]]/Tabela1[[#This Row],[Estoque total]])*Tabela1[[#This Row],[Consumo]]</x:f>
        <x:v>162.43974358974359</x:v>
      </x:c>
    </x:row>
    <x:row r="93">
      <x:c r="A93" s="2" t="s">
        <x:v>196</x:v>
      </x:c>
      <x:c r="B93" s="2" t="s">
        <x:v>197</x:v>
      </x:c>
      <x:c r="C93" s="2" t="s">
        <x:v>14</x:v>
      </x:c>
      <x:c r="D93" s="2" t="s">
        <x:v>15</x:v>
      </x:c>
      <x:c r="E93" s="2" t="s">
        <x:v>16</x:v>
      </x:c>
      <x:c r="F93" s="2" t="s">
        <x:v>17</x:v>
      </x:c>
      <x:c r="G93" s="3">
        <x:v>648</x:v>
      </x:c>
      <x:c r="H93" s="2" t="s">
        <x:v>18</x:v>
      </x:c>
      <x:c r="I93" s="7">
        <x:v>2462.4</x:v>
      </x:c>
      <x:c r="J93" s="2"/>
      <x:c r="K93" s="5" t="e">
        <x:f>Tabela1[[#This Row],[Estoque total]]-Tabela1[[#This Row],[Consumo]]</x:f>
        <x:v>#VALUE!</x:v>
      </x:c>
      <x:c r="L93" s="9" t="e">
        <x:f>(Tabela1[[#This Row],[Valor total]]/Tabela1[[#This Row],[Estoque total]])*Tabela1[[#This Row],[Consumo]]</x:f>
        <x:v>#VALUE!</x:v>
      </x:c>
    </x:row>
    <x:row r="94">
      <x:c r="A94" s="2" t="s">
        <x:v>198</x:v>
      </x:c>
      <x:c r="B94" s="2" t="s">
        <x:v>199</x:v>
      </x:c>
      <x:c r="C94" s="2" t="s">
        <x:v>14</x:v>
      </x:c>
      <x:c r="D94" s="2" t="s">
        <x:v>15</x:v>
      </x:c>
      <x:c r="E94" s="2" t="s">
        <x:v>16</x:v>
      </x:c>
      <x:c r="F94" s="2" t="s">
        <x:v>17</x:v>
      </x:c>
      <x:c r="G94" s="3">
        <x:v>50</x:v>
      </x:c>
      <x:c r="H94" s="2" t="s">
        <x:v>18</x:v>
      </x:c>
      <x:c r="I94" s="7">
        <x:v>188</x:v>
      </x:c>
      <x:c r="J94" s="2"/>
      <x:c r="K94" s="5" t="e">
        <x:f>Tabela1[[#This Row],[Estoque total]]-Tabela1[[#This Row],[Consumo]]</x:f>
        <x:v>#VALUE!</x:v>
      </x:c>
      <x:c r="L94" s="9" t="e">
        <x:f>(Tabela1[[#This Row],[Valor total]]/Tabela1[[#This Row],[Estoque total]])*Tabela1[[#This Row],[Consumo]]</x:f>
        <x:v>#VALUE!</x:v>
      </x:c>
    </x:row>
    <x:row r="95">
      <x:c r="A95" s="2" t="s">
        <x:v>200</x:v>
      </x:c>
      <x:c r="B95" s="2" t="s">
        <x:v>201</x:v>
      </x:c>
      <x:c r="C95" s="2" t="s">
        <x:v>14</x:v>
      </x:c>
      <x:c r="D95" s="2" t="s">
        <x:v>15</x:v>
      </x:c>
      <x:c r="E95" s="2" t="s">
        <x:v>16</x:v>
      </x:c>
      <x:c r="F95" s="2" t="s">
        <x:v>17</x:v>
      </x:c>
      <x:c r="G95" s="3">
        <x:v>58</x:v>
      </x:c>
      <x:c r="H95" s="2" t="s">
        <x:v>18</x:v>
      </x:c>
      <x:c r="I95" s="7">
        <x:v>240.7</x:v>
      </x:c>
      <x:c r="J95" s="2"/>
      <x:c r="K95" s="5" t="e">
        <x:f>Tabela1[[#This Row],[Estoque total]]-Tabela1[[#This Row],[Consumo]]</x:f>
        <x:v>#VALUE!</x:v>
      </x:c>
      <x:c r="L95" s="9" t="e">
        <x:f>(Tabela1[[#This Row],[Valor total]]/Tabela1[[#This Row],[Estoque total]])*Tabela1[[#This Row],[Consumo]]</x:f>
        <x:v>#VALUE!</x:v>
      </x:c>
    </x:row>
    <x:row r="96">
      <x:c r="A96" s="2" t="s">
        <x:v>202</x:v>
      </x:c>
      <x:c r="B96" s="2" t="s">
        <x:v>203</x:v>
      </x:c>
      <x:c r="C96" s="2" t="s">
        <x:v>14</x:v>
      </x:c>
      <x:c r="D96" s="2" t="s">
        <x:v>15</x:v>
      </x:c>
      <x:c r="E96" s="2" t="s">
        <x:v>16</x:v>
      </x:c>
      <x:c r="F96" s="2" t="s">
        <x:v>17</x:v>
      </x:c>
      <x:c r="G96" s="3">
        <x:v>140</x:v>
      </x:c>
      <x:c r="H96" s="2" t="s">
        <x:v>18</x:v>
      </x:c>
      <x:c r="I96" s="7">
        <x:v>642.6</x:v>
      </x:c>
      <x:c r="J96" s="2"/>
      <x:c r="K96" s="5" t="e">
        <x:f>Tabela1[[#This Row],[Estoque total]]-Tabela1[[#This Row],[Consumo]]</x:f>
        <x:v>#VALUE!</x:v>
      </x:c>
      <x:c r="L96" s="9" t="e">
        <x:f>(Tabela1[[#This Row],[Valor total]]/Tabela1[[#This Row],[Estoque total]])*Tabela1[[#This Row],[Consumo]]</x:f>
        <x:v>#VALUE!</x:v>
      </x:c>
    </x:row>
    <x:row r="97">
      <x:c r="A97" s="2" t="s">
        <x:v>204</x:v>
      </x:c>
      <x:c r="B97" s="2" t="s">
        <x:v>205</x:v>
      </x:c>
      <x:c r="C97" s="2" t="s">
        <x:v>14</x:v>
      </x:c>
      <x:c r="D97" s="2" t="s">
        <x:v>15</x:v>
      </x:c>
      <x:c r="E97" s="2" t="s">
        <x:v>16</x:v>
      </x:c>
      <x:c r="F97" s="2" t="s">
        <x:v>17</x:v>
      </x:c>
      <x:c r="G97" s="3">
        <x:v>20</x:v>
      </x:c>
      <x:c r="H97" s="2" t="s">
        <x:v>18</x:v>
      </x:c>
      <x:c r="I97" s="7">
        <x:v>90.6</x:v>
      </x:c>
      <x:c r="J97" s="2"/>
      <x:c r="K97" s="5" t="e">
        <x:f>Tabela1[[#This Row],[Estoque total]]-Tabela1[[#This Row],[Consumo]]</x:f>
        <x:v>#VALUE!</x:v>
      </x:c>
      <x:c r="L97" s="9" t="e">
        <x:f>(Tabela1[[#This Row],[Valor total]]/Tabela1[[#This Row],[Estoque total]])*Tabela1[[#This Row],[Consumo]]</x:f>
        <x:v>#VALUE!</x:v>
      </x:c>
    </x:row>
    <x:row r="98">
      <x:c r="A98" s="2" t="s">
        <x:v>206</x:v>
      </x:c>
      <x:c r="B98" s="2" t="s">
        <x:v>207</x:v>
      </x:c>
      <x:c r="C98" s="2" t="s">
        <x:v>14</x:v>
      </x:c>
      <x:c r="D98" s="2" t="s">
        <x:v>15</x:v>
      </x:c>
      <x:c r="E98" s="2" t="s">
        <x:v>16</x:v>
      </x:c>
      <x:c r="F98" s="2" t="s">
        <x:v>17</x:v>
      </x:c>
      <x:c r="G98" s="3">
        <x:v>176</x:v>
      </x:c>
      <x:c r="H98" s="2" t="s">
        <x:v>18</x:v>
      </x:c>
      <x:c r="I98" s="7">
        <x:v>761.18</x:v>
      </x:c>
      <x:c r="J98" s="2"/>
      <x:c r="K98" s="5" t="e">
        <x:f>Tabela1[[#This Row],[Estoque total]]-Tabela1[[#This Row],[Consumo]]</x:f>
        <x:v>#VALUE!</x:v>
      </x:c>
      <x:c r="L98" s="9" t="e">
        <x:f>(Tabela1[[#This Row],[Valor total]]/Tabela1[[#This Row],[Estoque total]])*Tabela1[[#This Row],[Consumo]]</x:f>
        <x:v>#VALUE!</x:v>
      </x:c>
    </x:row>
    <x:row r="99">
      <x:c r="A99" s="2" t="s">
        <x:v>208</x:v>
      </x:c>
      <x:c r="B99" s="2" t="s">
        <x:v>209</x:v>
      </x:c>
      <x:c r="C99" s="2" t="s">
        <x:v>14</x:v>
      </x:c>
      <x:c r="D99" s="2" t="s">
        <x:v>15</x:v>
      </x:c>
      <x:c r="E99" s="2" t="s">
        <x:v>16</x:v>
      </x:c>
      <x:c r="F99" s="2" t="s">
        <x:v>17</x:v>
      </x:c>
      <x:c r="G99" s="3">
        <x:v>12</x:v>
      </x:c>
      <x:c r="H99" s="2" t="s">
        <x:v>18</x:v>
      </x:c>
      <x:c r="I99" s="7">
        <x:v>56.04</x:v>
      </x:c>
      <x:c r="J99" s="2"/>
      <x:c r="K99" s="5" t="e">
        <x:f>Tabela1[[#This Row],[Estoque total]]-Tabela1[[#This Row],[Consumo]]</x:f>
        <x:v>#VALUE!</x:v>
      </x:c>
      <x:c r="L99" s="9" t="e">
        <x:f>(Tabela1[[#This Row],[Valor total]]/Tabela1[[#This Row],[Estoque total]])*Tabela1[[#This Row],[Consumo]]</x:f>
        <x:v>#VALUE!</x:v>
      </x:c>
    </x:row>
    <x:row r="100">
      <x:c r="A100" s="2" t="s">
        <x:v>210</x:v>
      </x:c>
      <x:c r="B100" s="2" t="s">
        <x:v>211</x:v>
      </x:c>
      <x:c r="C100" s="2" t="s">
        <x:v>14</x:v>
      </x:c>
      <x:c r="D100" s="2" t="s">
        <x:v>15</x:v>
      </x:c>
      <x:c r="E100" s="2" t="s">
        <x:v>16</x:v>
      </x:c>
      <x:c r="F100" s="2" t="s">
        <x:v>17</x:v>
      </x:c>
      <x:c r="G100" s="3">
        <x:v>24</x:v>
      </x:c>
      <x:c r="H100" s="2" t="s">
        <x:v>18</x:v>
      </x:c>
      <x:c r="I100" s="7">
        <x:v>129.36000000000001</x:v>
      </x:c>
      <x:c r="J100" s="2"/>
      <x:c r="K100" s="5" t="e">
        <x:f>Tabela1[[#This Row],[Estoque total]]-Tabela1[[#This Row],[Consumo]]</x:f>
        <x:v>#VALUE!</x:v>
      </x:c>
      <x:c r="L100" s="9" t="e">
        <x:f>(Tabela1[[#This Row],[Valor total]]/Tabela1[[#This Row],[Estoque total]])*Tabela1[[#This Row],[Consumo]]</x:f>
        <x:v>#VALUE!</x:v>
      </x:c>
    </x:row>
    <x:row r="101">
      <x:c r="A101" s="2" t="s">
        <x:v>212</x:v>
      </x:c>
      <x:c r="B101" s="2" t="s">
        <x:v>213</x:v>
      </x:c>
      <x:c r="C101" s="2" t="s">
        <x:v>14</x:v>
      </x:c>
      <x:c r="D101" s="2" t="s">
        <x:v>15</x:v>
      </x:c>
      <x:c r="E101" s="2" t="s">
        <x:v>16</x:v>
      </x:c>
      <x:c r="F101" s="2" t="s">
        <x:v>17</x:v>
      </x:c>
      <x:c r="G101" s="3">
        <x:v>10</x:v>
      </x:c>
      <x:c r="H101" s="2" t="s">
        <x:v>18</x:v>
      </x:c>
      <x:c r="I101" s="7">
        <x:v>51.5</x:v>
      </x:c>
      <x:c r="J101" s="2"/>
      <x:c r="K101" s="5" t="e">
        <x:f>Tabela1[[#This Row],[Estoque total]]-Tabela1[[#This Row],[Consumo]]</x:f>
        <x:v>#VALUE!</x:v>
      </x:c>
      <x:c r="L101" s="9" t="e">
        <x:f>(Tabela1[[#This Row],[Valor total]]/Tabela1[[#This Row],[Estoque total]])*Tabela1[[#This Row],[Consumo]]</x:f>
        <x:v>#VALUE!</x:v>
      </x:c>
    </x:row>
    <x:row r="102">
      <x:c r="A102" s="2" t="s">
        <x:v>214</x:v>
      </x:c>
      <x:c r="B102" s="2" t="s">
        <x:v>215</x:v>
      </x:c>
      <x:c r="C102" s="2" t="s">
        <x:v>14</x:v>
      </x:c>
      <x:c r="D102" s="2" t="s">
        <x:v>15</x:v>
      </x:c>
      <x:c r="E102" s="2" t="s">
        <x:v>16</x:v>
      </x:c>
      <x:c r="F102" s="2" t="s">
        <x:v>17</x:v>
      </x:c>
      <x:c r="G102" s="3">
        <x:v>286</x:v>
      </x:c>
      <x:c r="H102" s="2" t="s">
        <x:v>18</x:v>
      </x:c>
      <x:c r="I102" s="7">
        <x:v>22.88</x:v>
      </x:c>
      <x:c r="J102" s="2"/>
      <x:c r="K102" s="5" t="e">
        <x:f>Tabela1[[#This Row],[Estoque total]]-Tabela1[[#This Row],[Consumo]]</x:f>
        <x:v>#VALUE!</x:v>
      </x:c>
      <x:c r="L102" s="9" t="e">
        <x:f>(Tabela1[[#This Row],[Valor total]]/Tabela1[[#This Row],[Estoque total]])*Tabela1[[#This Row],[Consumo]]</x:f>
        <x:v>#VALUE!</x:v>
      </x:c>
    </x:row>
    <x:row r="103">
      <x:c r="A103" s="2" t="s">
        <x:v>216</x:v>
      </x:c>
      <x:c r="B103" s="2" t="s">
        <x:v>217</x:v>
      </x:c>
      <x:c r="C103" s="2" t="s">
        <x:v>14</x:v>
      </x:c>
      <x:c r="D103" s="2" t="s">
        <x:v>15</x:v>
      </x:c>
      <x:c r="E103" s="2" t="s">
        <x:v>16</x:v>
      </x:c>
      <x:c r="F103" s="2" t="s">
        <x:v>17</x:v>
      </x:c>
      <x:c r="G103" s="3">
        <x:v>416</x:v>
      </x:c>
      <x:c r="H103" s="2" t="s">
        <x:v>18</x:v>
      </x:c>
      <x:c r="I103" s="7">
        <x:v>67.209999999999994</x:v>
      </x:c>
      <x:c r="J103" s="2"/>
      <x:c r="K103" s="5" t="e">
        <x:f>Tabela1[[#This Row],[Estoque total]]-Tabela1[[#This Row],[Consumo]]</x:f>
        <x:v>#VALUE!</x:v>
      </x:c>
      <x:c r="L103" s="9" t="e">
        <x:f>(Tabela1[[#This Row],[Valor total]]/Tabela1[[#This Row],[Estoque total]])*Tabela1[[#This Row],[Consumo]]</x:f>
        <x:v>#VALUE!</x:v>
      </x:c>
    </x:row>
    <x:row r="104">
      <x:c r="A104" s="2" t="s">
        <x:v>218</x:v>
      </x:c>
      <x:c r="B104" s="2" t="s">
        <x:v>219</x:v>
      </x:c>
      <x:c r="C104" s="2" t="s">
        <x:v>14</x:v>
      </x:c>
      <x:c r="D104" s="2" t="s">
        <x:v>15</x:v>
      </x:c>
      <x:c r="E104" s="2" t="s">
        <x:v>16</x:v>
      </x:c>
      <x:c r="F104" s="2" t="s">
        <x:v>17</x:v>
      </x:c>
      <x:c r="G104" s="3">
        <x:v>579</x:v>
      </x:c>
      <x:c r="H104" s="2" t="s">
        <x:v>18</x:v>
      </x:c>
      <x:c r="I104" s="7">
        <x:v>52.11</x:v>
      </x:c>
      <x:c r="J104" s="2"/>
      <x:c r="K104" s="5" t="e">
        <x:f>Tabela1[[#This Row],[Estoque total]]-Tabela1[[#This Row],[Consumo]]</x:f>
        <x:v>#VALUE!</x:v>
      </x:c>
      <x:c r="L104" s="9" t="e">
        <x:f>(Tabela1[[#This Row],[Valor total]]/Tabela1[[#This Row],[Estoque total]])*Tabela1[[#This Row],[Consumo]]</x:f>
        <x:v>#VALUE!</x:v>
      </x:c>
    </x:row>
    <x:row r="105">
      <x:c r="A105" s="2" t="s">
        <x:v>220</x:v>
      </x:c>
      <x:c r="B105" s="2" t="s">
        <x:v>221</x:v>
      </x:c>
      <x:c r="C105" s="2" t="s">
        <x:v>14</x:v>
      </x:c>
      <x:c r="D105" s="2" t="s">
        <x:v>15</x:v>
      </x:c>
      <x:c r="E105" s="2" t="s">
        <x:v>16</x:v>
      </x:c>
      <x:c r="F105" s="2" t="s">
        <x:v>17</x:v>
      </x:c>
      <x:c r="G105" s="3">
        <x:v>48</x:v>
      </x:c>
      <x:c r="H105" s="2" t="s">
        <x:v>18</x:v>
      </x:c>
      <x:c r="I105" s="7">
        <x:v>3.84</x:v>
      </x:c>
      <x:c r="J105" s="2"/>
      <x:c r="K105" s="5" t="e">
        <x:f>Tabela1[[#This Row],[Estoque total]]-Tabela1[[#This Row],[Consumo]]</x:f>
        <x:v>#VALUE!</x:v>
      </x:c>
      <x:c r="L105" s="9" t="e">
        <x:f>(Tabela1[[#This Row],[Valor total]]/Tabela1[[#This Row],[Estoque total]])*Tabela1[[#This Row],[Consumo]]</x:f>
        <x:v>#VALUE!</x:v>
      </x:c>
    </x:row>
    <x:row r="106">
      <x:c r="A106" s="2" t="s">
        <x:v>222</x:v>
      </x:c>
      <x:c r="B106" s="2" t="s">
        <x:v>223</x:v>
      </x:c>
      <x:c r="C106" s="2" t="s">
        <x:v>14</x:v>
      </x:c>
      <x:c r="D106" s="2" t="s">
        <x:v>15</x:v>
      </x:c>
      <x:c r="E106" s="2" t="s">
        <x:v>16</x:v>
      </x:c>
      <x:c r="F106" s="2" t="s">
        <x:v>17</x:v>
      </x:c>
      <x:c r="G106" s="3">
        <x:v>510</x:v>
      </x:c>
      <x:c r="H106" s="2" t="s">
        <x:v>18</x:v>
      </x:c>
      <x:c r="I106" s="7">
        <x:v>61.2</x:v>
      </x:c>
      <x:c r="J106" s="2"/>
      <x:c r="K106" s="5" t="e">
        <x:f>Tabela1[[#This Row],[Estoque total]]-Tabela1[[#This Row],[Consumo]]</x:f>
        <x:v>#VALUE!</x:v>
      </x:c>
      <x:c r="L106" s="9" t="e">
        <x:f>(Tabela1[[#This Row],[Valor total]]/Tabela1[[#This Row],[Estoque total]])*Tabela1[[#This Row],[Consumo]]</x:f>
        <x:v>#VALUE!</x:v>
      </x:c>
    </x:row>
    <x:row r="107">
      <x:c r="A107" s="2" t="s">
        <x:v>224</x:v>
      </x:c>
      <x:c r="B107" s="2" t="s">
        <x:v>225</x:v>
      </x:c>
      <x:c r="C107" s="2" t="s">
        <x:v>14</x:v>
      </x:c>
      <x:c r="D107" s="2" t="s">
        <x:v>15</x:v>
      </x:c>
      <x:c r="E107" s="2" t="s">
        <x:v>16</x:v>
      </x:c>
      <x:c r="F107" s="2" t="s">
        <x:v>17</x:v>
      </x:c>
      <x:c r="G107" s="3">
        <x:v>24</x:v>
      </x:c>
      <x:c r="H107" s="2" t="s">
        <x:v>18</x:v>
      </x:c>
      <x:c r="I107" s="7">
        <x:v>4.32</x:v>
      </x:c>
      <x:c r="J107" s="2"/>
      <x:c r="K107" s="5" t="e">
        <x:f>Tabela1[[#This Row],[Estoque total]]-Tabela1[[#This Row],[Consumo]]</x:f>
        <x:v>#VALUE!</x:v>
      </x:c>
      <x:c r="L107" s="9" t="e">
        <x:f>(Tabela1[[#This Row],[Valor total]]/Tabela1[[#This Row],[Estoque total]])*Tabela1[[#This Row],[Consumo]]</x:f>
        <x:v>#VALUE!</x:v>
      </x:c>
    </x:row>
    <x:row r="108">
      <x:c r="A108" s="2" t="s">
        <x:v>226</x:v>
      </x:c>
      <x:c r="B108" s="2" t="s">
        <x:v>227</x:v>
      </x:c>
      <x:c r="C108" s="2" t="s">
        <x:v>14</x:v>
      </x:c>
      <x:c r="D108" s="2" t="s">
        <x:v>15</x:v>
      </x:c>
      <x:c r="E108" s="2" t="s">
        <x:v>16</x:v>
      </x:c>
      <x:c r="F108" s="2" t="s">
        <x:v>17</x:v>
      </x:c>
      <x:c r="G108" s="3">
        <x:v>48</x:v>
      </x:c>
      <x:c r="H108" s="2" t="s">
        <x:v>18</x:v>
      </x:c>
      <x:c r="I108" s="7">
        <x:v>110.88</x:v>
      </x:c>
      <x:c r="J108" s="2"/>
      <x:c r="K108" s="5" t="e">
        <x:f>Tabela1[[#This Row],[Estoque total]]-Tabela1[[#This Row],[Consumo]]</x:f>
        <x:v>#VALUE!</x:v>
      </x:c>
      <x:c r="L108" s="9" t="e">
        <x:f>(Tabela1[[#This Row],[Valor total]]/Tabela1[[#This Row],[Estoque total]])*Tabela1[[#This Row],[Consumo]]</x:f>
        <x:v>#VALUE!</x:v>
      </x:c>
    </x:row>
    <x:row r="109">
      <x:c r="A109" s="2" t="s">
        <x:v>228</x:v>
      </x:c>
      <x:c r="B109" s="2" t="s">
        <x:v>229</x:v>
      </x:c>
      <x:c r="C109" s="2" t="s">
        <x:v>14</x:v>
      </x:c>
      <x:c r="D109" s="2" t="s">
        <x:v>15</x:v>
      </x:c>
      <x:c r="E109" s="2" t="s">
        <x:v>16</x:v>
      </x:c>
      <x:c r="F109" s="2" t="s">
        <x:v>17</x:v>
      </x:c>
      <x:c r="G109" s="3">
        <x:v>74</x:v>
      </x:c>
      <x:c r="H109" s="2" t="s">
        <x:v>18</x:v>
      </x:c>
      <x:c r="I109" s="7">
        <x:v>657.12</x:v>
      </x:c>
      <x:c r="J109" s="2"/>
      <x:c r="K109" s="5" t="e">
        <x:f>Tabela1[[#This Row],[Estoque total]]-Tabela1[[#This Row],[Consumo]]</x:f>
        <x:v>#VALUE!</x:v>
      </x:c>
      <x:c r="L109" s="9" t="e">
        <x:f>(Tabela1[[#This Row],[Valor total]]/Tabela1[[#This Row],[Estoque total]])*Tabela1[[#This Row],[Consumo]]</x:f>
        <x:v>#VALUE!</x:v>
      </x:c>
    </x:row>
    <x:row r="110">
      <x:c r="A110" s="2" t="s">
        <x:v>230</x:v>
      </x:c>
      <x:c r="B110" s="2" t="s">
        <x:v>231</x:v>
      </x:c>
      <x:c r="C110" s="2" t="s">
        <x:v>14</x:v>
      </x:c>
      <x:c r="D110" s="2" t="s">
        <x:v>15</x:v>
      </x:c>
      <x:c r="E110" s="2" t="s">
        <x:v>16</x:v>
      </x:c>
      <x:c r="F110" s="2" t="s">
        <x:v>17</x:v>
      </x:c>
      <x:c r="G110" s="3">
        <x:v>25</x:v>
      </x:c>
      <x:c r="H110" s="2" t="s">
        <x:v>18</x:v>
      </x:c>
      <x:c r="I110" s="7">
        <x:v>256</x:v>
      </x:c>
      <x:c r="J110" s="2"/>
      <x:c r="K110" s="5" t="e">
        <x:f>Tabela1[[#This Row],[Estoque total]]-Tabela1[[#This Row],[Consumo]]</x:f>
        <x:v>#VALUE!</x:v>
      </x:c>
      <x:c r="L110" s="9" t="e">
        <x:f>(Tabela1[[#This Row],[Valor total]]/Tabela1[[#This Row],[Estoque total]])*Tabela1[[#This Row],[Consumo]]</x:f>
        <x:v>#VALUE!</x:v>
      </x:c>
    </x:row>
    <x:row r="111">
      <x:c r="A111" s="2" t="s">
        <x:v>232</x:v>
      </x:c>
      <x:c r="B111" s="2" t="s">
        <x:v>233</x:v>
      </x:c>
      <x:c r="C111" s="2" t="s">
        <x:v>14</x:v>
      </x:c>
      <x:c r="D111" s="2" t="s">
        <x:v>15</x:v>
      </x:c>
      <x:c r="E111" s="2" t="s">
        <x:v>16</x:v>
      </x:c>
      <x:c r="F111" s="2" t="s">
        <x:v>17</x:v>
      </x:c>
      <x:c r="G111" s="3">
        <x:v>67</x:v>
      </x:c>
      <x:c r="H111" s="2" t="s">
        <x:v>18</x:v>
      </x:c>
      <x:c r="I111" s="7">
        <x:v>426.12</x:v>
      </x:c>
      <x:c r="J111" s="2"/>
      <x:c r="K111" s="5" t="e">
        <x:f>Tabela1[[#This Row],[Estoque total]]-Tabela1[[#This Row],[Consumo]]</x:f>
        <x:v>#VALUE!</x:v>
      </x:c>
      <x:c r="L111" s="9" t="e">
        <x:f>(Tabela1[[#This Row],[Valor total]]/Tabela1[[#This Row],[Estoque total]])*Tabela1[[#This Row],[Consumo]]</x:f>
        <x:v>#VALUE!</x:v>
      </x:c>
    </x:row>
    <x:row r="112">
      <x:c r="A112" s="2" t="s">
        <x:v>234</x:v>
      </x:c>
      <x:c r="B112" s="2" t="s">
        <x:v>235</x:v>
      </x:c>
      <x:c r="C112" s="2" t="s">
        <x:v>14</x:v>
      </x:c>
      <x:c r="D112" s="2" t="s">
        <x:v>15</x:v>
      </x:c>
      <x:c r="E112" s="2" t="s">
        <x:v>16</x:v>
      </x:c>
      <x:c r="F112" s="2" t="s">
        <x:v>17</x:v>
      </x:c>
      <x:c r="G112" s="3">
        <x:v>4</x:v>
      </x:c>
      <x:c r="H112" s="2" t="s">
        <x:v>18</x:v>
      </x:c>
      <x:c r="I112" s="7">
        <x:v>30.92</x:v>
      </x:c>
      <x:c r="J112" s="2"/>
      <x:c r="K112" s="5" t="e">
        <x:f>Tabela1[[#This Row],[Estoque total]]-Tabela1[[#This Row],[Consumo]]</x:f>
        <x:v>#VALUE!</x:v>
      </x:c>
      <x:c r="L112" s="9" t="e">
        <x:f>(Tabela1[[#This Row],[Valor total]]/Tabela1[[#This Row],[Estoque total]])*Tabela1[[#This Row],[Consumo]]</x:f>
        <x:v>#VALUE!</x:v>
      </x:c>
    </x:row>
    <x:row r="113">
      <x:c r="A113" s="2" t="s">
        <x:v>236</x:v>
      </x:c>
      <x:c r="B113" s="2" t="s">
        <x:v>237</x:v>
      </x:c>
      <x:c r="C113" s="2" t="s">
        <x:v>14</x:v>
      </x:c>
      <x:c r="D113" s="2" t="s">
        <x:v>15</x:v>
      </x:c>
      <x:c r="E113" s="2" t="s">
        <x:v>16</x:v>
      </x:c>
      <x:c r="F113" s="2" t="s">
        <x:v>17</x:v>
      </x:c>
      <x:c r="G113" s="3">
        <x:v>6</x:v>
      </x:c>
      <x:c r="H113" s="2" t="s">
        <x:v>18</x:v>
      </x:c>
      <x:c r="I113" s="7">
        <x:v>195.9</x:v>
      </x:c>
      <x:c r="J113" s="2"/>
      <x:c r="K113" s="5" t="e">
        <x:f>Tabela1[[#This Row],[Estoque total]]-Tabela1[[#This Row],[Consumo]]</x:f>
        <x:v>#VALUE!</x:v>
      </x:c>
      <x:c r="L113" s="9" t="e">
        <x:f>(Tabela1[[#This Row],[Valor total]]/Tabela1[[#This Row],[Estoque total]])*Tabela1[[#This Row],[Consumo]]</x:f>
        <x:v>#VALUE!</x:v>
      </x:c>
    </x:row>
    <x:row r="114">
      <x:c r="A114" s="2" t="s">
        <x:v>238</x:v>
      </x:c>
      <x:c r="B114" s="2" t="s">
        <x:v>239</x:v>
      </x:c>
      <x:c r="C114" s="2" t="s">
        <x:v>14</x:v>
      </x:c>
      <x:c r="D114" s="2" t="s">
        <x:v>15</x:v>
      </x:c>
      <x:c r="E114" s="2" t="s">
        <x:v>16</x:v>
      </x:c>
      <x:c r="F114" s="2" t="s">
        <x:v>17</x:v>
      </x:c>
      <x:c r="G114" s="3">
        <x:v>2</x:v>
      </x:c>
      <x:c r="H114" s="2" t="s">
        <x:v>18</x:v>
      </x:c>
      <x:c r="I114" s="7">
        <x:v>32.06</x:v>
      </x:c>
      <x:c r="J114" s="2"/>
      <x:c r="K114" s="5" t="e">
        <x:f>Tabela1[[#This Row],[Estoque total]]-Tabela1[[#This Row],[Consumo]]</x:f>
        <x:v>#VALUE!</x:v>
      </x:c>
      <x:c r="L114" s="9" t="e">
        <x:f>(Tabela1[[#This Row],[Valor total]]/Tabela1[[#This Row],[Estoque total]])*Tabela1[[#This Row],[Consumo]]</x:f>
        <x:v>#VALUE!</x:v>
      </x:c>
    </x:row>
    <x:row r="115">
      <x:c r="A115" s="2" t="s">
        <x:v>240</x:v>
      </x:c>
      <x:c r="B115" s="2" t="s">
        <x:v>241</x:v>
      </x:c>
      <x:c r="C115" s="2" t="s">
        <x:v>14</x:v>
      </x:c>
      <x:c r="D115" s="2" t="s">
        <x:v>15</x:v>
      </x:c>
      <x:c r="E115" s="2" t="s">
        <x:v>16</x:v>
      </x:c>
      <x:c r="F115" s="2" t="s">
        <x:v>17</x:v>
      </x:c>
      <x:c r="G115" s="3">
        <x:v>4</x:v>
      </x:c>
      <x:c r="H115" s="2" t="s">
        <x:v>18</x:v>
      </x:c>
      <x:c r="I115" s="7">
        <x:v>78.2</x:v>
      </x:c>
      <x:c r="J115" s="2"/>
      <x:c r="K115" s="5" t="e">
        <x:f>Tabela1[[#This Row],[Estoque total]]-Tabela1[[#This Row],[Consumo]]</x:f>
        <x:v>#VALUE!</x:v>
      </x:c>
      <x:c r="L115" s="9" t="e">
        <x:f>(Tabela1[[#This Row],[Valor total]]/Tabela1[[#This Row],[Estoque total]])*Tabela1[[#This Row],[Consumo]]</x:f>
        <x:v>#VALUE!</x:v>
      </x:c>
    </x:row>
    <x:row r="116">
      <x:c r="A116" s="2" t="s">
        <x:v>242</x:v>
      </x:c>
      <x:c r="B116" s="2" t="s">
        <x:v>243</x:v>
      </x:c>
      <x:c r="C116" s="2" t="s">
        <x:v>14</x:v>
      </x:c>
      <x:c r="D116" s="2" t="s">
        <x:v>15</x:v>
      </x:c>
      <x:c r="E116" s="2" t="s">
        <x:v>16</x:v>
      </x:c>
      <x:c r="F116" s="2" t="s">
        <x:v>17</x:v>
      </x:c>
      <x:c r="G116" s="3">
        <x:v>44</x:v>
      </x:c>
      <x:c r="H116" s="2" t="s">
        <x:v>18</x:v>
      </x:c>
      <x:c r="I116" s="7">
        <x:v>2051.2800000000002</x:v>
      </x:c>
      <x:c r="J116" s="2" t="n">
        <x:v>43</x:v>
      </x:c>
      <x:c r="K116" s="5" t="n">
        <x:f>Tabela1[[#This Row],[Estoque total]]-Tabela1[[#This Row],[Consumo]]</x:f>
        <x:v>1</x:v>
      </x:c>
      <x:c r="L116" s="9" t="n">
        <x:f>(Tabela1[[#This Row],[Valor total]]/Tabela1[[#This Row],[Estoque total]])*Tabela1[[#This Row],[Consumo]]</x:f>
        <x:v>2004.6600000000003</x:v>
      </x:c>
    </x:row>
    <x:row r="117">
      <x:c r="A117" s="2" t="s">
        <x:v>244</x:v>
      </x:c>
      <x:c r="B117" s="2" t="s">
        <x:v>245</x:v>
      </x:c>
      <x:c r="C117" s="2" t="s">
        <x:v>14</x:v>
      </x:c>
      <x:c r="D117" s="2" t="s">
        <x:v>15</x:v>
      </x:c>
      <x:c r="E117" s="2" t="s">
        <x:v>16</x:v>
      </x:c>
      <x:c r="F117" s="2" t="s">
        <x:v>17</x:v>
      </x:c>
      <x:c r="G117" s="3">
        <x:v>2</x:v>
      </x:c>
      <x:c r="H117" s="2" t="s">
        <x:v>18</x:v>
      </x:c>
      <x:c r="I117" s="7">
        <x:v>239.62</x:v>
      </x:c>
      <x:c r="J117" s="2"/>
      <x:c r="K117" s="5" t="e">
        <x:f>Tabela1[[#This Row],[Estoque total]]-Tabela1[[#This Row],[Consumo]]</x:f>
        <x:v>#VALUE!</x:v>
      </x:c>
      <x:c r="L117" s="9" t="e">
        <x:f>(Tabela1[[#This Row],[Valor total]]/Tabela1[[#This Row],[Estoque total]])*Tabela1[[#This Row],[Consumo]]</x:f>
        <x:v>#VALUE!</x:v>
      </x:c>
    </x:row>
    <x:row r="118">
      <x:c r="A118" s="2" t="s">
        <x:v>246</x:v>
      </x:c>
      <x:c r="B118" s="2" t="s">
        <x:v>247</x:v>
      </x:c>
      <x:c r="C118" s="2" t="s">
        <x:v>14</x:v>
      </x:c>
      <x:c r="D118" s="2" t="s">
        <x:v>15</x:v>
      </x:c>
      <x:c r="E118" s="2" t="s">
        <x:v>16</x:v>
      </x:c>
      <x:c r="F118" s="2" t="s">
        <x:v>17</x:v>
      </x:c>
      <x:c r="G118" s="3">
        <x:v>3</x:v>
      </x:c>
      <x:c r="H118" s="2" t="s">
        <x:v>18</x:v>
      </x:c>
      <x:c r="I118" s="7">
        <x:v>437.88</x:v>
      </x:c>
      <x:c r="J118" s="2"/>
      <x:c r="K118" s="5" t="e">
        <x:f>Tabela1[[#This Row],[Estoque total]]-Tabela1[[#This Row],[Consumo]]</x:f>
        <x:v>#VALUE!</x:v>
      </x:c>
      <x:c r="L118" s="9" t="e">
        <x:f>(Tabela1[[#This Row],[Valor total]]/Tabela1[[#This Row],[Estoque total]])*Tabela1[[#This Row],[Consumo]]</x:f>
        <x:v>#VALUE!</x:v>
      </x:c>
    </x:row>
    <x:row r="119">
      <x:c r="A119" s="2" t="s">
        <x:v>248</x:v>
      </x:c>
      <x:c r="B119" s="2" t="s">
        <x:v>249</x:v>
      </x:c>
      <x:c r="C119" s="2" t="s">
        <x:v>14</x:v>
      </x:c>
      <x:c r="D119" s="2" t="s">
        <x:v>15</x:v>
      </x:c>
      <x:c r="E119" s="2" t="s">
        <x:v>16</x:v>
      </x:c>
      <x:c r="F119" s="2" t="s">
        <x:v>17</x:v>
      </x:c>
      <x:c r="G119" s="3">
        <x:v>1</x:v>
      </x:c>
      <x:c r="H119" s="2" t="s">
        <x:v>18</x:v>
      </x:c>
      <x:c r="I119" s="7">
        <x:v>163.83000000000001</x:v>
      </x:c>
      <x:c r="J119" s="2" t="n">
        <x:v>1</x:v>
      </x:c>
      <x:c r="K119" s="5" t="n">
        <x:f>Tabela1[[#This Row],[Estoque total]]-Tabela1[[#This Row],[Consumo]]</x:f>
        <x:v>0</x:v>
      </x:c>
      <x:c r="L119" s="9" t="n">
        <x:f>(Tabela1[[#This Row],[Valor total]]/Tabela1[[#This Row],[Estoque total]])*Tabela1[[#This Row],[Consumo]]</x:f>
        <x:v>163.83</x:v>
      </x:c>
    </x:row>
    <x:row r="120">
      <x:c r="A120" s="2" t="s">
        <x:v>250</x:v>
      </x:c>
      <x:c r="B120" s="2" t="s">
        <x:v>251</x:v>
      </x:c>
      <x:c r="C120" s="2" t="s">
        <x:v>14</x:v>
      </x:c>
      <x:c r="D120" s="2" t="s">
        <x:v>15</x:v>
      </x:c>
      <x:c r="E120" s="2" t="s">
        <x:v>16</x:v>
      </x:c>
      <x:c r="F120" s="2" t="s">
        <x:v>17</x:v>
      </x:c>
      <x:c r="G120" s="3">
        <x:v>2</x:v>
      </x:c>
      <x:c r="H120" s="2" t="s">
        <x:v>18</x:v>
      </x:c>
      <x:c r="I120" s="7">
        <x:v>87.52</x:v>
      </x:c>
      <x:c r="J120" s="2"/>
      <x:c r="K120" s="5" t="e">
        <x:f>Tabela1[[#This Row],[Estoque total]]-Tabela1[[#This Row],[Consumo]]</x:f>
        <x:v>#VALUE!</x:v>
      </x:c>
      <x:c r="L120" s="9" t="e">
        <x:f>(Tabela1[[#This Row],[Valor total]]/Tabela1[[#This Row],[Estoque total]])*Tabela1[[#This Row],[Consumo]]</x:f>
        <x:v>#VALUE!</x:v>
      </x:c>
    </x:row>
    <x:row r="121">
      <x:c r="A121" s="2" t="s">
        <x:v>252</x:v>
      </x:c>
      <x:c r="B121" s="2" t="s">
        <x:v>253</x:v>
      </x:c>
      <x:c r="C121" s="2" t="s">
        <x:v>14</x:v>
      </x:c>
      <x:c r="D121" s="2" t="s">
        <x:v>15</x:v>
      </x:c>
      <x:c r="E121" s="2" t="s">
        <x:v>16</x:v>
      </x:c>
      <x:c r="F121" s="2" t="s">
        <x:v>17</x:v>
      </x:c>
      <x:c r="G121" s="3">
        <x:v>3</x:v>
      </x:c>
      <x:c r="H121" s="2" t="s">
        <x:v>18</x:v>
      </x:c>
      <x:c r="I121" s="7">
        <x:v>150.18</x:v>
      </x:c>
      <x:c r="J121" s="2"/>
      <x:c r="K121" s="5" t="e">
        <x:f>Tabela1[[#This Row],[Estoque total]]-Tabela1[[#This Row],[Consumo]]</x:f>
        <x:v>#VALUE!</x:v>
      </x:c>
      <x:c r="L121" s="9" t="e">
        <x:f>(Tabela1[[#This Row],[Valor total]]/Tabela1[[#This Row],[Estoque total]])*Tabela1[[#This Row],[Consumo]]</x:f>
        <x:v>#VALUE!</x:v>
      </x:c>
    </x:row>
    <x:row r="122">
      <x:c r="A122" s="2" t="s">
        <x:v>254</x:v>
      </x:c>
      <x:c r="B122" s="2" t="s">
        <x:v>255</x:v>
      </x:c>
      <x:c r="C122" s="2" t="s">
        <x:v>14</x:v>
      </x:c>
      <x:c r="D122" s="2" t="s">
        <x:v>15</x:v>
      </x:c>
      <x:c r="E122" s="2" t="s">
        <x:v>16</x:v>
      </x:c>
      <x:c r="F122" s="2" t="s">
        <x:v>17</x:v>
      </x:c>
      <x:c r="G122" s="3">
        <x:v>2</x:v>
      </x:c>
      <x:c r="H122" s="2" t="s">
        <x:v>18</x:v>
      </x:c>
      <x:c r="I122" s="7">
        <x:v>86.72</x:v>
      </x:c>
      <x:c r="J122" s="2"/>
      <x:c r="K122" s="5" t="e">
        <x:f>Tabela1[[#This Row],[Estoque total]]-Tabela1[[#This Row],[Consumo]]</x:f>
        <x:v>#VALUE!</x:v>
      </x:c>
      <x:c r="L122" s="9" t="e">
        <x:f>(Tabela1[[#This Row],[Valor total]]/Tabela1[[#This Row],[Estoque total]])*Tabela1[[#This Row],[Consumo]]</x:f>
        <x:v>#VALUE!</x:v>
      </x:c>
    </x:row>
    <x:row r="123">
      <x:c r="A123" s="2" t="s">
        <x:v>256</x:v>
      </x:c>
      <x:c r="B123" s="2" t="s">
        <x:v>257</x:v>
      </x:c>
      <x:c r="C123" s="2" t="s">
        <x:v>14</x:v>
      </x:c>
      <x:c r="D123" s="2" t="s">
        <x:v>15</x:v>
      </x:c>
      <x:c r="E123" s="2" t="s">
        <x:v>16</x:v>
      </x:c>
      <x:c r="F123" s="2" t="s">
        <x:v>17</x:v>
      </x:c>
      <x:c r="G123" s="3">
        <x:v>3</x:v>
      </x:c>
      <x:c r="H123" s="2" t="s">
        <x:v>18</x:v>
      </x:c>
      <x:c r="I123" s="7">
        <x:v>148.94999999999999</x:v>
      </x:c>
      <x:c r="J123" s="2"/>
      <x:c r="K123" s="5" t="e">
        <x:f>Tabela1[[#This Row],[Estoque total]]-Tabela1[[#This Row],[Consumo]]</x:f>
        <x:v>#VALUE!</x:v>
      </x:c>
      <x:c r="L123" s="9" t="e">
        <x:f>(Tabela1[[#This Row],[Valor total]]/Tabela1[[#This Row],[Estoque total]])*Tabela1[[#This Row],[Consumo]]</x:f>
        <x:v>#VALUE!</x:v>
      </x:c>
    </x:row>
    <x:row r="124">
      <x:c r="A124" s="2" t="s">
        <x:v>258</x:v>
      </x:c>
      <x:c r="B124" s="2" t="s">
        <x:v>259</x:v>
      </x:c>
      <x:c r="C124" s="2" t="s">
        <x:v>14</x:v>
      </x:c>
      <x:c r="D124" s="2" t="s">
        <x:v>15</x:v>
      </x:c>
      <x:c r="E124" s="2" t="s">
        <x:v>16</x:v>
      </x:c>
      <x:c r="F124" s="2" t="s">
        <x:v>17</x:v>
      </x:c>
      <x:c r="G124" s="3">
        <x:v>26</x:v>
      </x:c>
      <x:c r="H124" s="2" t="s">
        <x:v>18</x:v>
      </x:c>
      <x:c r="I124" s="7">
        <x:v>194.22</x:v>
      </x:c>
      <x:c r="J124" s="2"/>
      <x:c r="K124" s="5" t="e">
        <x:f>Tabela1[[#This Row],[Estoque total]]-Tabela1[[#This Row],[Consumo]]</x:f>
        <x:v>#VALUE!</x:v>
      </x:c>
      <x:c r="L124" s="9" t="e">
        <x:f>(Tabela1[[#This Row],[Valor total]]/Tabela1[[#This Row],[Estoque total]])*Tabela1[[#This Row],[Consumo]]</x:f>
        <x:v>#VALUE!</x:v>
      </x:c>
    </x:row>
    <x:row r="125">
      <x:c r="A125" s="2" t="s">
        <x:v>260</x:v>
      </x:c>
      <x:c r="B125" s="2" t="s">
        <x:v>261</x:v>
      </x:c>
      <x:c r="C125" s="2" t="s">
        <x:v>14</x:v>
      </x:c>
      <x:c r="D125" s="2" t="s">
        <x:v>15</x:v>
      </x:c>
      <x:c r="E125" s="2" t="s">
        <x:v>16</x:v>
      </x:c>
      <x:c r="F125" s="2" t="s">
        <x:v>17</x:v>
      </x:c>
      <x:c r="G125" s="3">
        <x:v>10</x:v>
      </x:c>
      <x:c r="H125" s="2" t="s">
        <x:v>18</x:v>
      </x:c>
      <x:c r="I125" s="7">
        <x:v>119.8</x:v>
      </x:c>
      <x:c r="J125" s="2"/>
      <x:c r="K125" s="5" t="e">
        <x:f>Tabela1[[#This Row],[Estoque total]]-Tabela1[[#This Row],[Consumo]]</x:f>
        <x:v>#VALUE!</x:v>
      </x:c>
      <x:c r="L125" s="9" t="e">
        <x:f>(Tabela1[[#This Row],[Valor total]]/Tabela1[[#This Row],[Estoque total]])*Tabela1[[#This Row],[Consumo]]</x:f>
        <x:v>#VALUE!</x:v>
      </x:c>
    </x:row>
    <x:row r="126">
      <x:c r="A126" s="2" t="s">
        <x:v>262</x:v>
      </x:c>
      <x:c r="B126" s="2" t="s">
        <x:v>263</x:v>
      </x:c>
      <x:c r="C126" s="2" t="s">
        <x:v>14</x:v>
      </x:c>
      <x:c r="D126" s="2" t="s">
        <x:v>15</x:v>
      </x:c>
      <x:c r="E126" s="2" t="s">
        <x:v>16</x:v>
      </x:c>
      <x:c r="F126" s="2" t="s">
        <x:v>17</x:v>
      </x:c>
      <x:c r="G126" s="3">
        <x:v>30</x:v>
      </x:c>
      <x:c r="H126" s="2" t="s">
        <x:v>18</x:v>
      </x:c>
      <x:c r="I126" s="7">
        <x:v>723.42</x:v>
      </x:c>
      <x:c r="J126" s="2"/>
      <x:c r="K126" s="5" t="e">
        <x:f>Tabela1[[#This Row],[Estoque total]]-Tabela1[[#This Row],[Consumo]]</x:f>
        <x:v>#VALUE!</x:v>
      </x:c>
      <x:c r="L126" s="9" t="e">
        <x:f>(Tabela1[[#This Row],[Valor total]]/Tabela1[[#This Row],[Estoque total]])*Tabela1[[#This Row],[Consumo]]</x:f>
        <x:v>#VALUE!</x:v>
      </x:c>
    </x:row>
    <x:row r="127">
      <x:c r="A127" s="2" t="s">
        <x:v>264</x:v>
      </x:c>
      <x:c r="B127" s="2" t="s">
        <x:v>265</x:v>
      </x:c>
      <x:c r="C127" s="2" t="s">
        <x:v>14</x:v>
      </x:c>
      <x:c r="D127" s="2" t="s">
        <x:v>15</x:v>
      </x:c>
      <x:c r="E127" s="2" t="s">
        <x:v>16</x:v>
      </x:c>
      <x:c r="F127" s="2" t="s">
        <x:v>17</x:v>
      </x:c>
      <x:c r="G127" s="3">
        <x:v>1</x:v>
      </x:c>
      <x:c r="H127" s="2" t="s">
        <x:v>18</x:v>
      </x:c>
      <x:c r="I127" s="7">
        <x:v>26.18</x:v>
      </x:c>
      <x:c r="J127" s="2"/>
      <x:c r="K127" s="5" t="e">
        <x:f>Tabela1[[#This Row],[Estoque total]]-Tabela1[[#This Row],[Consumo]]</x:f>
        <x:v>#VALUE!</x:v>
      </x:c>
      <x:c r="L127" s="9" t="e">
        <x:f>(Tabela1[[#This Row],[Valor total]]/Tabela1[[#This Row],[Estoque total]])*Tabela1[[#This Row],[Consumo]]</x:f>
        <x:v>#VALUE!</x:v>
      </x:c>
    </x:row>
    <x:row r="128">
      <x:c r="A128" s="2" t="s">
        <x:v>266</x:v>
      </x:c>
      <x:c r="B128" s="2" t="s">
        <x:v>267</x:v>
      </x:c>
      <x:c r="C128" s="2" t="s">
        <x:v>14</x:v>
      </x:c>
      <x:c r="D128" s="2" t="s">
        <x:v>15</x:v>
      </x:c>
      <x:c r="E128" s="2" t="s">
        <x:v>16</x:v>
      </x:c>
      <x:c r="F128" s="2" t="s">
        <x:v>17</x:v>
      </x:c>
      <x:c r="G128" s="3">
        <x:v>1</x:v>
      </x:c>
      <x:c r="H128" s="2" t="s">
        <x:v>18</x:v>
      </x:c>
      <x:c r="I128" s="7">
        <x:v>204.94</x:v>
      </x:c>
      <x:c r="J128" s="2"/>
      <x:c r="K128" s="5" t="e">
        <x:f>Tabela1[[#This Row],[Estoque total]]-Tabela1[[#This Row],[Consumo]]</x:f>
        <x:v>#VALUE!</x:v>
      </x:c>
      <x:c r="L128" s="9" t="e">
        <x:f>(Tabela1[[#This Row],[Valor total]]/Tabela1[[#This Row],[Estoque total]])*Tabela1[[#This Row],[Consumo]]</x:f>
        <x:v>#VALUE!</x:v>
      </x:c>
    </x:row>
    <x:row r="129">
      <x:c r="A129" s="2" t="s">
        <x:v>268</x:v>
      </x:c>
      <x:c r="B129" s="2" t="s">
        <x:v>269</x:v>
      </x:c>
      <x:c r="C129" s="2" t="s">
        <x:v>14</x:v>
      </x:c>
      <x:c r="D129" s="2" t="s">
        <x:v>15</x:v>
      </x:c>
      <x:c r="E129" s="2" t="s">
        <x:v>16</x:v>
      </x:c>
      <x:c r="F129" s="2" t="s">
        <x:v>17</x:v>
      </x:c>
      <x:c r="G129" s="3">
        <x:v>1</x:v>
      </x:c>
      <x:c r="H129" s="2" t="s">
        <x:v>18</x:v>
      </x:c>
      <x:c r="I129" s="7">
        <x:v>51.41</x:v>
      </x:c>
      <x:c r="J129" s="2"/>
      <x:c r="K129" s="5" t="e">
        <x:f>Tabela1[[#This Row],[Estoque total]]-Tabela1[[#This Row],[Consumo]]</x:f>
        <x:v>#VALUE!</x:v>
      </x:c>
      <x:c r="L129" s="9" t="e">
        <x:f>(Tabela1[[#This Row],[Valor total]]/Tabela1[[#This Row],[Estoque total]])*Tabela1[[#This Row],[Consumo]]</x:f>
        <x:v>#VALUE!</x:v>
      </x:c>
    </x:row>
    <x:row r="130">
      <x:c r="A130" s="2" t="s">
        <x:v>270</x:v>
      </x:c>
      <x:c r="B130" s="2" t="s">
        <x:v>271</x:v>
      </x:c>
      <x:c r="C130" s="2" t="s">
        <x:v>14</x:v>
      </x:c>
      <x:c r="D130" s="2" t="s">
        <x:v>15</x:v>
      </x:c>
      <x:c r="E130" s="2" t="s">
        <x:v>16</x:v>
      </x:c>
      <x:c r="F130" s="2" t="s">
        <x:v>17</x:v>
      </x:c>
      <x:c r="G130" s="3">
        <x:v>21</x:v>
      </x:c>
      <x:c r="H130" s="2" t="s">
        <x:v>18</x:v>
      </x:c>
      <x:c r="I130" s="7">
        <x:v>583.79999999999995</x:v>
      </x:c>
      <x:c r="J130" s="2"/>
      <x:c r="K130" s="5" t="e">
        <x:f>Tabela1[[#This Row],[Estoque total]]-Tabela1[[#This Row],[Consumo]]</x:f>
        <x:v>#VALUE!</x:v>
      </x:c>
      <x:c r="L130" s="9" t="e">
        <x:f>(Tabela1[[#This Row],[Valor total]]/Tabela1[[#This Row],[Estoque total]])*Tabela1[[#This Row],[Consumo]]</x:f>
        <x:v>#VALUE!</x:v>
      </x:c>
    </x:row>
    <x:row r="131">
      <x:c r="A131" s="2" t="s">
        <x:v>272</x:v>
      </x:c>
      <x:c r="B131" s="2" t="s">
        <x:v>273</x:v>
      </x:c>
      <x:c r="C131" s="2" t="s">
        <x:v>14</x:v>
      </x:c>
      <x:c r="D131" s="2" t="s">
        <x:v>15</x:v>
      </x:c>
      <x:c r="E131" s="2" t="s">
        <x:v>16</x:v>
      </x:c>
      <x:c r="F131" s="2" t="s">
        <x:v>17</x:v>
      </x:c>
      <x:c r="G131" s="3">
        <x:v>594</x:v>
      </x:c>
      <x:c r="H131" s="2" t="s">
        <x:v>18</x:v>
      </x:c>
      <x:c r="I131" s="7">
        <x:v>778.14</x:v>
      </x:c>
      <x:c r="J131" s="2"/>
      <x:c r="K131" s="5" t="e">
        <x:f>Tabela1[[#This Row],[Estoque total]]-Tabela1[[#This Row],[Consumo]]</x:f>
        <x:v>#VALUE!</x:v>
      </x:c>
      <x:c r="L131" s="9" t="e">
        <x:f>(Tabela1[[#This Row],[Valor total]]/Tabela1[[#This Row],[Estoque total]])*Tabela1[[#This Row],[Consumo]]</x:f>
        <x:v>#VALUE!</x:v>
      </x:c>
    </x:row>
    <x:row r="132">
      <x:c r="A132" s="2" t="s">
        <x:v>274</x:v>
      </x:c>
      <x:c r="B132" s="2" t="s">
        <x:v>275</x:v>
      </x:c>
      <x:c r="C132" s="2" t="s">
        <x:v>14</x:v>
      </x:c>
      <x:c r="D132" s="2" t="s">
        <x:v>15</x:v>
      </x:c>
      <x:c r="E132" s="2" t="s">
        <x:v>16</x:v>
      </x:c>
      <x:c r="F132" s="2" t="s">
        <x:v>17</x:v>
      </x:c>
      <x:c r="G132" s="3">
        <x:v>288</x:v>
      </x:c>
      <x:c r="H132" s="2" t="s">
        <x:v>18</x:v>
      </x:c>
      <x:c r="I132" s="7">
        <x:v>2128.3200000000002</x:v>
      </x:c>
      <x:c r="J132" s="2"/>
      <x:c r="K132" s="5" t="e">
        <x:f>Tabela1[[#This Row],[Estoque total]]-Tabela1[[#This Row],[Consumo]]</x:f>
        <x:v>#VALUE!</x:v>
      </x:c>
      <x:c r="L132" s="9" t="e">
        <x:f>(Tabela1[[#This Row],[Valor total]]/Tabela1[[#This Row],[Estoque total]])*Tabela1[[#This Row],[Consumo]]</x:f>
        <x:v>#VALUE!</x:v>
      </x:c>
    </x:row>
    <x:row r="133">
      <x:c r="A133" s="2" t="s">
        <x:v>276</x:v>
      </x:c>
      <x:c r="B133" s="2" t="s">
        <x:v>277</x:v>
      </x:c>
      <x:c r="C133" s="2" t="s">
        <x:v>14</x:v>
      </x:c>
      <x:c r="D133" s="2" t="s">
        <x:v>15</x:v>
      </x:c>
      <x:c r="E133" s="2" t="s">
        <x:v>16</x:v>
      </x:c>
      <x:c r="F133" s="2" t="s">
        <x:v>17</x:v>
      </x:c>
      <x:c r="G133" s="3">
        <x:v>9</x:v>
      </x:c>
      <x:c r="H133" s="2" t="s">
        <x:v>18</x:v>
      </x:c>
      <x:c r="I133" s="7">
        <x:v>69.569999999999993</x:v>
      </x:c>
      <x:c r="J133" s="2"/>
      <x:c r="K133" s="5" t="e">
        <x:f>Tabela1[[#This Row],[Estoque total]]-Tabela1[[#This Row],[Consumo]]</x:f>
        <x:v>#VALUE!</x:v>
      </x:c>
      <x:c r="L133" s="9" t="e">
        <x:f>(Tabela1[[#This Row],[Valor total]]/Tabela1[[#This Row],[Estoque total]])*Tabela1[[#This Row],[Consumo]]</x:f>
        <x:v>#VALUE!</x:v>
      </x:c>
    </x:row>
    <x:row r="134">
      <x:c r="A134" s="2" t="s">
        <x:v>278</x:v>
      </x:c>
      <x:c r="B134" s="2" t="s">
        <x:v>279</x:v>
      </x:c>
      <x:c r="C134" s="2" t="s">
        <x:v>14</x:v>
      </x:c>
      <x:c r="D134" s="2" t="s">
        <x:v>15</x:v>
      </x:c>
      <x:c r="E134" s="2" t="s">
        <x:v>16</x:v>
      </x:c>
      <x:c r="F134" s="2" t="s">
        <x:v>17</x:v>
      </x:c>
      <x:c r="G134" s="3">
        <x:v>14</x:v>
      </x:c>
      <x:c r="H134" s="2" t="s">
        <x:v>18</x:v>
      </x:c>
      <x:c r="I134" s="7">
        <x:v>92.96</x:v>
      </x:c>
      <x:c r="J134" s="2"/>
      <x:c r="K134" s="5" t="e">
        <x:f>Tabela1[[#This Row],[Estoque total]]-Tabela1[[#This Row],[Consumo]]</x:f>
        <x:v>#VALUE!</x:v>
      </x:c>
      <x:c r="L134" s="9" t="e">
        <x:f>(Tabela1[[#This Row],[Valor total]]/Tabela1[[#This Row],[Estoque total]])*Tabela1[[#This Row],[Consumo]]</x:f>
        <x:v>#VALUE!</x:v>
      </x:c>
    </x:row>
    <x:row r="135">
      <x:c r="A135" s="2" t="s">
        <x:v>280</x:v>
      </x:c>
      <x:c r="B135" s="2" t="s">
        <x:v>281</x:v>
      </x:c>
      <x:c r="C135" s="2" t="s">
        <x:v>14</x:v>
      </x:c>
      <x:c r="D135" s="2" t="s">
        <x:v>15</x:v>
      </x:c>
      <x:c r="E135" s="2" t="s">
        <x:v>16</x:v>
      </x:c>
      <x:c r="F135" s="2" t="s">
        <x:v>17</x:v>
      </x:c>
      <x:c r="G135" s="3">
        <x:v>45</x:v>
      </x:c>
      <x:c r="H135" s="2" t="s">
        <x:v>18</x:v>
      </x:c>
      <x:c r="I135" s="7">
        <x:v>157.5</x:v>
      </x:c>
      <x:c r="J135" s="2"/>
      <x:c r="K135" s="5" t="e">
        <x:f>Tabela1[[#This Row],[Estoque total]]-Tabela1[[#This Row],[Consumo]]</x:f>
        <x:v>#VALUE!</x:v>
      </x:c>
      <x:c r="L135" s="9" t="e">
        <x:f>(Tabela1[[#This Row],[Valor total]]/Tabela1[[#This Row],[Estoque total]])*Tabela1[[#This Row],[Consumo]]</x:f>
        <x:v>#VALUE!</x:v>
      </x:c>
    </x:row>
    <x:row r="136">
      <x:c r="A136" s="2" t="s">
        <x:v>282</x:v>
      </x:c>
      <x:c r="B136" s="2" t="s">
        <x:v>283</x:v>
      </x:c>
      <x:c r="C136" s="2" t="s">
        <x:v>14</x:v>
      </x:c>
      <x:c r="D136" s="2" t="s">
        <x:v>15</x:v>
      </x:c>
      <x:c r="E136" s="2" t="s">
        <x:v>16</x:v>
      </x:c>
      <x:c r="F136" s="2" t="s">
        <x:v>17</x:v>
      </x:c>
      <x:c r="G136" s="3">
        <x:v>715</x:v>
      </x:c>
      <x:c r="H136" s="2" t="s">
        <x:v>18</x:v>
      </x:c>
      <x:c r="I136" s="7">
        <x:v>429</x:v>
      </x:c>
      <x:c r="J136" s="2" t="n">
        <x:v>188</x:v>
      </x:c>
      <x:c r="K136" s="5" t="n">
        <x:f>Tabela1[[#This Row],[Estoque total]]-Tabela1[[#This Row],[Consumo]]</x:f>
        <x:v>527</x:v>
      </x:c>
      <x:c r="L136" s="9" t="n">
        <x:f>(Tabela1[[#This Row],[Valor total]]/Tabela1[[#This Row],[Estoque total]])*Tabela1[[#This Row],[Consumo]]</x:f>
        <x:v>112.8</x:v>
      </x:c>
    </x:row>
    <x:row r="137">
      <x:c r="A137" s="2" t="s">
        <x:v>284</x:v>
      </x:c>
      <x:c r="B137" s="2" t="s">
        <x:v>285</x:v>
      </x:c>
      <x:c r="C137" s="2" t="s">
        <x:v>14</x:v>
      </x:c>
      <x:c r="D137" s="2" t="s">
        <x:v>15</x:v>
      </x:c>
      <x:c r="E137" s="2" t="s">
        <x:v>16</x:v>
      </x:c>
      <x:c r="F137" s="2" t="s">
        <x:v>17</x:v>
      </x:c>
      <x:c r="G137" s="3">
        <x:v>1320</x:v>
      </x:c>
      <x:c r="H137" s="2" t="s">
        <x:v>18</x:v>
      </x:c>
      <x:c r="I137" s="7">
        <x:v>686.4</x:v>
      </x:c>
      <x:c r="J137" s="2" t="n">
        <x:v>38</x:v>
      </x:c>
      <x:c r="K137" s="5" t="n">
        <x:f>Tabela1[[#This Row],[Estoque total]]-Tabela1[[#This Row],[Consumo]]</x:f>
        <x:v>1282</x:v>
      </x:c>
      <x:c r="L137" s="9" t="n">
        <x:f>(Tabela1[[#This Row],[Valor total]]/Tabela1[[#This Row],[Estoque total]])*Tabela1[[#This Row],[Consumo]]</x:f>
        <x:v>19.76</x:v>
      </x:c>
    </x:row>
    <x:row r="138">
      <x:c r="A138" s="2" t="s">
        <x:v>286</x:v>
      </x:c>
      <x:c r="B138" s="2" t="s">
        <x:v>287</x:v>
      </x:c>
      <x:c r="C138" s="2" t="s">
        <x:v>14</x:v>
      </x:c>
      <x:c r="D138" s="2" t="s">
        <x:v>15</x:v>
      </x:c>
      <x:c r="E138" s="2" t="s">
        <x:v>16</x:v>
      </x:c>
      <x:c r="F138" s="2" t="s">
        <x:v>17</x:v>
      </x:c>
      <x:c r="G138" s="3">
        <x:v>63</x:v>
      </x:c>
      <x:c r="H138" s="2" t="s">
        <x:v>18</x:v>
      </x:c>
      <x:c r="I138" s="7">
        <x:v>32.76</x:v>
      </x:c>
      <x:c r="J138" s="2"/>
      <x:c r="K138" s="5" t="e">
        <x:f>Tabela1[[#This Row],[Estoque total]]-Tabela1[[#This Row],[Consumo]]</x:f>
        <x:v>#VALUE!</x:v>
      </x:c>
      <x:c r="L138" s="9" t="e">
        <x:f>(Tabela1[[#This Row],[Valor total]]/Tabela1[[#This Row],[Estoque total]])*Tabela1[[#This Row],[Consumo]]</x:f>
        <x:v>#VALUE!</x:v>
      </x:c>
    </x:row>
    <x:row r="139">
      <x:c r="A139" s="2" t="s">
        <x:v>288</x:v>
      </x:c>
      <x:c r="B139" s="2" t="s">
        <x:v>289</x:v>
      </x:c>
      <x:c r="C139" s="2" t="s">
        <x:v>14</x:v>
      </x:c>
      <x:c r="D139" s="2" t="s">
        <x:v>15</x:v>
      </x:c>
      <x:c r="E139" s="2" t="s">
        <x:v>16</x:v>
      </x:c>
      <x:c r="F139" s="2" t="s">
        <x:v>17</x:v>
      </x:c>
      <x:c r="G139" s="3">
        <x:v>64</x:v>
      </x:c>
      <x:c r="H139" s="2" t="s">
        <x:v>18</x:v>
      </x:c>
      <x:c r="I139" s="7">
        <x:v>116.48</x:v>
      </x:c>
      <x:c r="J139" s="2"/>
      <x:c r="K139" s="5" t="e">
        <x:f>Tabela1[[#This Row],[Estoque total]]-Tabela1[[#This Row],[Consumo]]</x:f>
        <x:v>#VALUE!</x:v>
      </x:c>
      <x:c r="L139" s="9" t="e">
        <x:f>(Tabela1[[#This Row],[Valor total]]/Tabela1[[#This Row],[Estoque total]])*Tabela1[[#This Row],[Consumo]]</x:f>
        <x:v>#VALUE!</x:v>
      </x:c>
    </x:row>
    <x:row r="140">
      <x:c r="A140" s="2" t="s">
        <x:v>290</x:v>
      </x:c>
      <x:c r="B140" s="2" t="s">
        <x:v>291</x:v>
      </x:c>
      <x:c r="C140" s="2" t="s">
        <x:v>14</x:v>
      </x:c>
      <x:c r="D140" s="2" t="s">
        <x:v>15</x:v>
      </x:c>
      <x:c r="E140" s="2" t="s">
        <x:v>16</x:v>
      </x:c>
      <x:c r="F140" s="2" t="s">
        <x:v>17</x:v>
      </x:c>
      <x:c r="G140" s="3">
        <x:v>718</x:v>
      </x:c>
      <x:c r="H140" s="2" t="s">
        <x:v>18</x:v>
      </x:c>
      <x:c r="I140" s="7">
        <x:v>387.72</x:v>
      </x:c>
      <x:c r="J140" s="2"/>
      <x:c r="K140" s="5" t="e">
        <x:f>Tabela1[[#This Row],[Estoque total]]-Tabela1[[#This Row],[Consumo]]</x:f>
        <x:v>#VALUE!</x:v>
      </x:c>
      <x:c r="L140" s="9" t="e">
        <x:f>(Tabela1[[#This Row],[Valor total]]/Tabela1[[#This Row],[Estoque total]])*Tabela1[[#This Row],[Consumo]]</x:f>
        <x:v>#VALUE!</x:v>
      </x:c>
    </x:row>
    <x:row r="141">
      <x:c r="A141" s="2" t="s">
        <x:v>292</x:v>
      </x:c>
      <x:c r="B141" s="2" t="s">
        <x:v>293</x:v>
      </x:c>
      <x:c r="C141" s="2" t="s">
        <x:v>14</x:v>
      </x:c>
      <x:c r="D141" s="2" t="s">
        <x:v>15</x:v>
      </x:c>
      <x:c r="E141" s="2" t="s">
        <x:v>16</x:v>
      </x:c>
      <x:c r="F141" s="2" t="s">
        <x:v>17</x:v>
      </x:c>
      <x:c r="G141" s="3">
        <x:v>78</x:v>
      </x:c>
      <x:c r="H141" s="2" t="s">
        <x:v>18</x:v>
      </x:c>
      <x:c r="I141" s="7">
        <x:v>102.96</x:v>
      </x:c>
      <x:c r="J141" s="2"/>
      <x:c r="K141" s="5" t="e">
        <x:f>Tabela1[[#This Row],[Estoque total]]-Tabela1[[#This Row],[Consumo]]</x:f>
        <x:v>#VALUE!</x:v>
      </x:c>
      <x:c r="L141" s="9" t="e">
        <x:f>(Tabela1[[#This Row],[Valor total]]/Tabela1[[#This Row],[Estoque total]])*Tabela1[[#This Row],[Consumo]]</x:f>
        <x:v>#VALUE!</x:v>
      </x:c>
    </x:row>
    <x:row r="142">
      <x:c r="A142" s="2" t="s">
        <x:v>294</x:v>
      </x:c>
      <x:c r="B142" s="2" t="s">
        <x:v>295</x:v>
      </x:c>
      <x:c r="C142" s="2" t="s">
        <x:v>14</x:v>
      </x:c>
      <x:c r="D142" s="2" t="s">
        <x:v>15</x:v>
      </x:c>
      <x:c r="E142" s="2" t="s">
        <x:v>16</x:v>
      </x:c>
      <x:c r="F142" s="2" t="s">
        <x:v>17</x:v>
      </x:c>
      <x:c r="G142" s="3">
        <x:v>15</x:v>
      </x:c>
      <x:c r="H142" s="2" t="s">
        <x:v>18</x:v>
      </x:c>
      <x:c r="I142" s="7">
        <x:v>23.1</x:v>
      </x:c>
      <x:c r="J142" s="2"/>
      <x:c r="K142" s="5" t="e">
        <x:f>Tabela1[[#This Row],[Estoque total]]-Tabela1[[#This Row],[Consumo]]</x:f>
        <x:v>#VALUE!</x:v>
      </x:c>
      <x:c r="L142" s="9" t="e">
        <x:f>(Tabela1[[#This Row],[Valor total]]/Tabela1[[#This Row],[Estoque total]])*Tabela1[[#This Row],[Consumo]]</x:f>
        <x:v>#VALUE!</x:v>
      </x:c>
    </x:row>
    <x:row r="143">
      <x:c r="A143" s="2" t="s">
        <x:v>296</x:v>
      </x:c>
      <x:c r="B143" s="2" t="s">
        <x:v>297</x:v>
      </x:c>
      <x:c r="C143" s="2" t="s">
        <x:v>14</x:v>
      </x:c>
      <x:c r="D143" s="2" t="s">
        <x:v>15</x:v>
      </x:c>
      <x:c r="E143" s="2" t="s">
        <x:v>16</x:v>
      </x:c>
      <x:c r="F143" s="2" t="s">
        <x:v>17</x:v>
      </x:c>
      <x:c r="G143" s="3">
        <x:v>785</x:v>
      </x:c>
      <x:c r="H143" s="2" t="s">
        <x:v>18</x:v>
      </x:c>
      <x:c r="I143" s="7">
        <x:v>423.9</x:v>
      </x:c>
      <x:c r="J143" s="2"/>
      <x:c r="K143" s="5" t="e">
        <x:f>Tabela1[[#This Row],[Estoque total]]-Tabela1[[#This Row],[Consumo]]</x:f>
        <x:v>#VALUE!</x:v>
      </x:c>
      <x:c r="L143" s="9" t="e">
        <x:f>(Tabela1[[#This Row],[Valor total]]/Tabela1[[#This Row],[Estoque total]])*Tabela1[[#This Row],[Consumo]]</x:f>
        <x:v>#VALUE!</x:v>
      </x:c>
    </x:row>
    <x:row r="144">
      <x:c r="A144" s="2" t="s">
        <x:v>298</x:v>
      </x:c>
      <x:c r="B144" s="2" t="s">
        <x:v>299</x:v>
      </x:c>
      <x:c r="C144" s="2" t="s">
        <x:v>14</x:v>
      </x:c>
      <x:c r="D144" s="2" t="s">
        <x:v>15</x:v>
      </x:c>
      <x:c r="E144" s="2" t="s">
        <x:v>16</x:v>
      </x:c>
      <x:c r="F144" s="2" t="s">
        <x:v>17</x:v>
      </x:c>
      <x:c r="G144" s="3">
        <x:v>78</x:v>
      </x:c>
      <x:c r="H144" s="2" t="s">
        <x:v>18</x:v>
      </x:c>
      <x:c r="I144" s="7">
        <x:v>123.24</x:v>
      </x:c>
      <x:c r="J144" s="2"/>
      <x:c r="K144" s="5" t="e">
        <x:f>Tabela1[[#This Row],[Estoque total]]-Tabela1[[#This Row],[Consumo]]</x:f>
        <x:v>#VALUE!</x:v>
      </x:c>
      <x:c r="L144" s="9" t="e">
        <x:f>(Tabela1[[#This Row],[Valor total]]/Tabela1[[#This Row],[Estoque total]])*Tabela1[[#This Row],[Consumo]]</x:f>
        <x:v>#VALUE!</x:v>
      </x:c>
    </x:row>
    <x:row r="145">
      <x:c r="A145" s="2" t="s">
        <x:v>300</x:v>
      </x:c>
      <x:c r="B145" s="2" t="s">
        <x:v>301</x:v>
      </x:c>
      <x:c r="C145" s="2" t="s">
        <x:v>14</x:v>
      </x:c>
      <x:c r="D145" s="2" t="s">
        <x:v>15</x:v>
      </x:c>
      <x:c r="E145" s="2" t="s">
        <x:v>16</x:v>
      </x:c>
      <x:c r="F145" s="2" t="s">
        <x:v>17</x:v>
      </x:c>
      <x:c r="G145" s="3">
        <x:v>290</x:v>
      </x:c>
      <x:c r="H145" s="2" t="s">
        <x:v>18</x:v>
      </x:c>
      <x:c r="I145" s="7">
        <x:v>640.9</x:v>
      </x:c>
      <x:c r="J145" s="2"/>
      <x:c r="K145" s="5" t="e">
        <x:f>Tabela1[[#This Row],[Estoque total]]-Tabela1[[#This Row],[Consumo]]</x:f>
        <x:v>#VALUE!</x:v>
      </x:c>
      <x:c r="L145" s="9" t="e">
        <x:f>(Tabela1[[#This Row],[Valor total]]/Tabela1[[#This Row],[Estoque total]])*Tabela1[[#This Row],[Consumo]]</x:f>
        <x:v>#VALUE!</x:v>
      </x:c>
    </x:row>
    <x:row r="146">
      <x:c r="A146" s="2" t="s">
        <x:v>302</x:v>
      </x:c>
      <x:c r="B146" s="2" t="s">
        <x:v>303</x:v>
      </x:c>
      <x:c r="C146" s="2" t="s">
        <x:v>14</x:v>
      </x:c>
      <x:c r="D146" s="2" t="s">
        <x:v>15</x:v>
      </x:c>
      <x:c r="E146" s="2" t="s">
        <x:v>16</x:v>
      </x:c>
      <x:c r="F146" s="2" t="s">
        <x:v>17</x:v>
      </x:c>
      <x:c r="G146" s="3">
        <x:v>19</x:v>
      </x:c>
      <x:c r="H146" s="2" t="s">
        <x:v>18</x:v>
      </x:c>
      <x:c r="I146" s="7">
        <x:v>54.15</x:v>
      </x:c>
      <x:c r="J146" s="2"/>
      <x:c r="K146" s="5" t="e">
        <x:f>Tabela1[[#This Row],[Estoque total]]-Tabela1[[#This Row],[Consumo]]</x:f>
        <x:v>#VALUE!</x:v>
      </x:c>
      <x:c r="L146" s="9" t="e">
        <x:f>(Tabela1[[#This Row],[Valor total]]/Tabela1[[#This Row],[Estoque total]])*Tabela1[[#This Row],[Consumo]]</x:f>
        <x:v>#VALUE!</x:v>
      </x:c>
    </x:row>
    <x:row r="147">
      <x:c r="A147" s="2" t="s">
        <x:v>304</x:v>
      </x:c>
      <x:c r="B147" s="2" t="s">
        <x:v>305</x:v>
      </x:c>
      <x:c r="C147" s="2" t="s">
        <x:v>14</x:v>
      </x:c>
      <x:c r="D147" s="2" t="s">
        <x:v>15</x:v>
      </x:c>
      <x:c r="E147" s="2" t="s">
        <x:v>16</x:v>
      </x:c>
      <x:c r="F147" s="2" t="s">
        <x:v>17</x:v>
      </x:c>
      <x:c r="G147" s="3">
        <x:v>64</x:v>
      </x:c>
      <x:c r="H147" s="2" t="s">
        <x:v>18</x:v>
      </x:c>
      <x:c r="I147" s="7">
        <x:v>192</x:v>
      </x:c>
      <x:c r="J147" s="2"/>
      <x:c r="K147" s="5" t="e">
        <x:f>Tabela1[[#This Row],[Estoque total]]-Tabela1[[#This Row],[Consumo]]</x:f>
        <x:v>#VALUE!</x:v>
      </x:c>
      <x:c r="L147" s="9" t="e">
        <x:f>(Tabela1[[#This Row],[Valor total]]/Tabela1[[#This Row],[Estoque total]])*Tabela1[[#This Row],[Consumo]]</x:f>
        <x:v>#VALUE!</x:v>
      </x:c>
    </x:row>
    <x:row r="148">
      <x:c r="A148" s="2" t="s">
        <x:v>306</x:v>
      </x:c>
      <x:c r="B148" s="2" t="s">
        <x:v>307</x:v>
      </x:c>
      <x:c r="C148" s="2" t="s">
        <x:v>14</x:v>
      </x:c>
      <x:c r="D148" s="2" t="s">
        <x:v>15</x:v>
      </x:c>
      <x:c r="E148" s="2" t="s">
        <x:v>16</x:v>
      </x:c>
      <x:c r="F148" s="2" t="s">
        <x:v>17</x:v>
      </x:c>
      <x:c r="G148" s="3">
        <x:v>362</x:v>
      </x:c>
      <x:c r="H148" s="2" t="s">
        <x:v>18</x:v>
      </x:c>
      <x:c r="I148" s="7">
        <x:v>419.92</x:v>
      </x:c>
      <x:c r="J148" s="2"/>
      <x:c r="K148" s="5" t="e">
        <x:f>Tabela1[[#This Row],[Estoque total]]-Tabela1[[#This Row],[Consumo]]</x:f>
        <x:v>#VALUE!</x:v>
      </x:c>
      <x:c r="L148" s="9" t="e">
        <x:f>(Tabela1[[#This Row],[Valor total]]/Tabela1[[#This Row],[Estoque total]])*Tabela1[[#This Row],[Consumo]]</x:f>
        <x:v>#VALUE!</x:v>
      </x:c>
    </x:row>
    <x:row r="149">
      <x:c r="A149" s="2" t="s">
        <x:v>308</x:v>
      </x:c>
      <x:c r="B149" s="2" t="s">
        <x:v>309</x:v>
      </x:c>
      <x:c r="C149" s="2" t="s">
        <x:v>14</x:v>
      </x:c>
      <x:c r="D149" s="2" t="s">
        <x:v>15</x:v>
      </x:c>
      <x:c r="E149" s="2" t="s">
        <x:v>16</x:v>
      </x:c>
      <x:c r="F149" s="2" t="s">
        <x:v>17</x:v>
      </x:c>
      <x:c r="G149" s="3">
        <x:v>116</x:v>
      </x:c>
      <x:c r="H149" s="2" t="s">
        <x:v>18</x:v>
      </x:c>
      <x:c r="I149" s="7">
        <x:v>84.68</x:v>
      </x:c>
      <x:c r="J149" s="2"/>
      <x:c r="K149" s="5" t="e">
        <x:f>Tabela1[[#This Row],[Estoque total]]-Tabela1[[#This Row],[Consumo]]</x:f>
        <x:v>#VALUE!</x:v>
      </x:c>
      <x:c r="L149" s="9" t="e">
        <x:f>(Tabela1[[#This Row],[Valor total]]/Tabela1[[#This Row],[Estoque total]])*Tabela1[[#This Row],[Consumo]]</x:f>
        <x:v>#VALUE!</x:v>
      </x:c>
    </x:row>
    <x:row r="150">
      <x:c r="A150" s="2" t="s">
        <x:v>310</x:v>
      </x:c>
      <x:c r="B150" s="2" t="s">
        <x:v>311</x:v>
      </x:c>
      <x:c r="C150" s="2" t="s">
        <x:v>14</x:v>
      </x:c>
      <x:c r="D150" s="2" t="s">
        <x:v>15</x:v>
      </x:c>
      <x:c r="E150" s="2" t="s">
        <x:v>16</x:v>
      </x:c>
      <x:c r="F150" s="2" t="s">
        <x:v>17</x:v>
      </x:c>
      <x:c r="G150" s="3">
        <x:v>77</x:v>
      </x:c>
      <x:c r="H150" s="2" t="s">
        <x:v>18</x:v>
      </x:c>
      <x:c r="I150" s="7">
        <x:v>61.82</x:v>
      </x:c>
      <x:c r="J150" s="2"/>
      <x:c r="K150" s="5" t="e">
        <x:f>Tabela1[[#This Row],[Estoque total]]-Tabela1[[#This Row],[Consumo]]</x:f>
        <x:v>#VALUE!</x:v>
      </x:c>
      <x:c r="L150" s="9" t="e">
        <x:f>(Tabela1[[#This Row],[Valor total]]/Tabela1[[#This Row],[Estoque total]])*Tabela1[[#This Row],[Consumo]]</x:f>
        <x:v>#VALUE!</x:v>
      </x:c>
    </x:row>
    <x:row r="151">
      <x:c r="A151" s="2" t="s">
        <x:v>312</x:v>
      </x:c>
      <x:c r="B151" s="2" t="s">
        <x:v>313</x:v>
      </x:c>
      <x:c r="C151" s="2" t="s">
        <x:v>14</x:v>
      </x:c>
      <x:c r="D151" s="2" t="s">
        <x:v>15</x:v>
      </x:c>
      <x:c r="E151" s="2" t="s">
        <x:v>16</x:v>
      </x:c>
      <x:c r="F151" s="2" t="s">
        <x:v>17</x:v>
      </x:c>
      <x:c r="G151" s="3">
        <x:v>60</x:v>
      </x:c>
      <x:c r="H151" s="2" t="s">
        <x:v>18</x:v>
      </x:c>
      <x:c r="I151" s="7">
        <x:v>31.2</x:v>
      </x:c>
      <x:c r="J151" s="2"/>
      <x:c r="K151" s="5" t="e">
        <x:f>Tabela1[[#This Row],[Estoque total]]-Tabela1[[#This Row],[Consumo]]</x:f>
        <x:v>#VALUE!</x:v>
      </x:c>
      <x:c r="L151" s="9" t="e">
        <x:f>(Tabela1[[#This Row],[Valor total]]/Tabela1[[#This Row],[Estoque total]])*Tabela1[[#This Row],[Consumo]]</x:f>
        <x:v>#VALUE!</x:v>
      </x:c>
    </x:row>
    <x:row r="152">
      <x:c r="A152" s="2" t="s">
        <x:v>314</x:v>
      </x:c>
      <x:c r="B152" s="2" t="s">
        <x:v>315</x:v>
      </x:c>
      <x:c r="C152" s="2" t="s">
        <x:v>14</x:v>
      </x:c>
      <x:c r="D152" s="2" t="s">
        <x:v>15</x:v>
      </x:c>
      <x:c r="E152" s="2" t="s">
        <x:v>16</x:v>
      </x:c>
      <x:c r="F152" s="2" t="s">
        <x:v>17</x:v>
      </x:c>
      <x:c r="G152" s="3">
        <x:v>239</x:v>
      </x:c>
      <x:c r="H152" s="2" t="s">
        <x:v>18</x:v>
      </x:c>
      <x:c r="I152" s="7">
        <x:v>1328.84</x:v>
      </x:c>
      <x:c r="J152" s="2"/>
      <x:c r="K152" s="5" t="e">
        <x:f>Tabela1[[#This Row],[Estoque total]]-Tabela1[[#This Row],[Consumo]]</x:f>
        <x:v>#VALUE!</x:v>
      </x:c>
      <x:c r="L152" s="9" t="e">
        <x:f>(Tabela1[[#This Row],[Valor total]]/Tabela1[[#This Row],[Estoque total]])*Tabela1[[#This Row],[Consumo]]</x:f>
        <x:v>#VALUE!</x:v>
      </x:c>
    </x:row>
    <x:row r="153">
      <x:c r="A153" s="2" t="s">
        <x:v>316</x:v>
      </x:c>
      <x:c r="B153" s="2" t="s">
        <x:v>317</x:v>
      </x:c>
      <x:c r="C153" s="2" t="s">
        <x:v>14</x:v>
      </x:c>
      <x:c r="D153" s="2" t="s">
        <x:v>15</x:v>
      </x:c>
      <x:c r="E153" s="2" t="s">
        <x:v>16</x:v>
      </x:c>
      <x:c r="F153" s="2" t="s">
        <x:v>17</x:v>
      </x:c>
      <x:c r="G153" s="3">
        <x:v>542</x:v>
      </x:c>
      <x:c r="H153" s="2" t="s">
        <x:v>18</x:v>
      </x:c>
      <x:c r="I153" s="7">
        <x:v>5691</x:v>
      </x:c>
      <x:c r="J153" s="2"/>
      <x:c r="K153" s="5" t="e">
        <x:f>Tabela1[[#This Row],[Estoque total]]-Tabela1[[#This Row],[Consumo]]</x:f>
        <x:v>#VALUE!</x:v>
      </x:c>
      <x:c r="L153" s="9" t="e">
        <x:f>(Tabela1[[#This Row],[Valor total]]/Tabela1[[#This Row],[Estoque total]])*Tabela1[[#This Row],[Consumo]]</x:f>
        <x:v>#VALUE!</x:v>
      </x:c>
    </x:row>
    <x:row r="154">
      <x:c r="A154" s="2" t="s">
        <x:v>318</x:v>
      </x:c>
      <x:c r="B154" s="2" t="s">
        <x:v>319</x:v>
      </x:c>
      <x:c r="C154" s="2" t="s">
        <x:v>14</x:v>
      </x:c>
      <x:c r="D154" s="2" t="s">
        <x:v>15</x:v>
      </x:c>
      <x:c r="E154" s="2" t="s">
        <x:v>16</x:v>
      </x:c>
      <x:c r="F154" s="2" t="s">
        <x:v>17</x:v>
      </x:c>
      <x:c r="G154" s="3">
        <x:v>86</x:v>
      </x:c>
      <x:c r="H154" s="2" t="s">
        <x:v>18</x:v>
      </x:c>
      <x:c r="I154" s="7">
        <x:v>684.88</x:v>
      </x:c>
      <x:c r="J154" s="2"/>
      <x:c r="K154" s="5" t="e">
        <x:f>Tabela1[[#This Row],[Estoque total]]-Tabela1[[#This Row],[Consumo]]</x:f>
        <x:v>#VALUE!</x:v>
      </x:c>
      <x:c r="L154" s="9" t="e">
        <x:f>(Tabela1[[#This Row],[Valor total]]/Tabela1[[#This Row],[Estoque total]])*Tabela1[[#This Row],[Consumo]]</x:f>
        <x:v>#VALUE!</x:v>
      </x:c>
    </x:row>
    <x:row r="155">
      <x:c r="A155" s="2" t="s">
        <x:v>320</x:v>
      </x:c>
      <x:c r="B155" s="2" t="s">
        <x:v>321</x:v>
      </x:c>
      <x:c r="C155" s="2" t="s">
        <x:v>14</x:v>
      </x:c>
      <x:c r="D155" s="2" t="s">
        <x:v>15</x:v>
      </x:c>
      <x:c r="E155" s="2" t="s">
        <x:v>16</x:v>
      </x:c>
      <x:c r="F155" s="2" t="s">
        <x:v>17</x:v>
      </x:c>
      <x:c r="G155" s="3">
        <x:v>390</x:v>
      </x:c>
      <x:c r="H155" s="2" t="s">
        <x:v>18</x:v>
      </x:c>
      <x:c r="I155" s="7">
        <x:v>3081</x:v>
      </x:c>
      <x:c r="J155" s="2" t="n">
        <x:v>1</x:v>
      </x:c>
      <x:c r="K155" s="5" t="n">
        <x:f>Tabela1[[#This Row],[Estoque total]]-Tabela1[[#This Row],[Consumo]]</x:f>
        <x:v>389</x:v>
      </x:c>
      <x:c r="L155" s="9" t="n">
        <x:f>(Tabela1[[#This Row],[Valor total]]/Tabela1[[#This Row],[Estoque total]])*Tabela1[[#This Row],[Consumo]]</x:f>
        <x:v>7.9</x:v>
      </x:c>
    </x:row>
    <x:row r="156">
      <x:c r="A156" s="2" t="s">
        <x:v>322</x:v>
      </x:c>
      <x:c r="B156" s="2" t="s">
        <x:v>323</x:v>
      </x:c>
      <x:c r="C156" s="2" t="s">
        <x:v>14</x:v>
      </x:c>
      <x:c r="D156" s="2" t="s">
        <x:v>15</x:v>
      </x:c>
      <x:c r="E156" s="2" t="s">
        <x:v>16</x:v>
      </x:c>
      <x:c r="F156" s="2" t="s">
        <x:v>17</x:v>
      </x:c>
      <x:c r="G156" s="3">
        <x:v>400</x:v>
      </x:c>
      <x:c r="H156" s="2" t="s">
        <x:v>18</x:v>
      </x:c>
      <x:c r="I156" s="7">
        <x:v>2220</x:v>
      </x:c>
      <x:c r="J156" s="2"/>
      <x:c r="K156" s="5" t="e">
        <x:f>Tabela1[[#This Row],[Estoque total]]-Tabela1[[#This Row],[Consumo]]</x:f>
        <x:v>#VALUE!</x:v>
      </x:c>
      <x:c r="L156" s="9" t="e">
        <x:f>(Tabela1[[#This Row],[Valor total]]/Tabela1[[#This Row],[Estoque total]])*Tabela1[[#This Row],[Consumo]]</x:f>
        <x:v>#VALUE!</x:v>
      </x:c>
    </x:row>
    <x:row r="157">
      <x:c r="A157" s="2" t="s">
        <x:v>324</x:v>
      </x:c>
      <x:c r="B157" s="2" t="s">
        <x:v>325</x:v>
      </x:c>
      <x:c r="C157" s="2" t="s">
        <x:v>14</x:v>
      </x:c>
      <x:c r="D157" s="2" t="s">
        <x:v>15</x:v>
      </x:c>
      <x:c r="E157" s="2" t="s">
        <x:v>16</x:v>
      </x:c>
      <x:c r="F157" s="2" t="s">
        <x:v>17</x:v>
      </x:c>
      <x:c r="G157" s="3">
        <x:v>144</x:v>
      </x:c>
      <x:c r="H157" s="2" t="s">
        <x:v>18</x:v>
      </x:c>
      <x:c r="I157" s="7">
        <x:v>810.72</x:v>
      </x:c>
      <x:c r="J157" s="2"/>
      <x:c r="K157" s="5" t="e">
        <x:f>Tabela1[[#This Row],[Estoque total]]-Tabela1[[#This Row],[Consumo]]</x:f>
        <x:v>#VALUE!</x:v>
      </x:c>
      <x:c r="L157" s="9" t="e">
        <x:f>(Tabela1[[#This Row],[Valor total]]/Tabela1[[#This Row],[Estoque total]])*Tabela1[[#This Row],[Consumo]]</x:f>
        <x:v>#VALUE!</x:v>
      </x:c>
    </x:row>
    <x:row r="158">
      <x:c r="A158" s="2" t="s">
        <x:v>326</x:v>
      </x:c>
      <x:c r="B158" s="2" t="s">
        <x:v>327</x:v>
      </x:c>
      <x:c r="C158" s="2" t="s">
        <x:v>14</x:v>
      </x:c>
      <x:c r="D158" s="2" t="s">
        <x:v>15</x:v>
      </x:c>
      <x:c r="E158" s="2" t="s">
        <x:v>16</x:v>
      </x:c>
      <x:c r="F158" s="2" t="s">
        <x:v>17</x:v>
      </x:c>
      <x:c r="G158" s="3">
        <x:v>1</x:v>
      </x:c>
      <x:c r="H158" s="2" t="s">
        <x:v>18</x:v>
      </x:c>
      <x:c r="I158" s="7">
        <x:v>93.44</x:v>
      </x:c>
      <x:c r="J158" s="2"/>
      <x:c r="K158" s="5" t="e">
        <x:f>Tabela1[[#This Row],[Estoque total]]-Tabela1[[#This Row],[Consumo]]</x:f>
        <x:v>#VALUE!</x:v>
      </x:c>
      <x:c r="L158" s="9" t="e">
        <x:f>(Tabela1[[#This Row],[Valor total]]/Tabela1[[#This Row],[Estoque total]])*Tabela1[[#This Row],[Consumo]]</x:f>
        <x:v>#VALUE!</x:v>
      </x:c>
    </x:row>
    <x:row r="159">
      <x:c r="A159" s="2" t="s">
        <x:v>328</x:v>
      </x:c>
      <x:c r="B159" s="2" t="s">
        <x:v>329</x:v>
      </x:c>
      <x:c r="C159" s="2" t="s">
        <x:v>14</x:v>
      </x:c>
      <x:c r="D159" s="2" t="s">
        <x:v>15</x:v>
      </x:c>
      <x:c r="E159" s="2" t="s">
        <x:v>16</x:v>
      </x:c>
      <x:c r="F159" s="2" t="s">
        <x:v>31</x:v>
      </x:c>
      <x:c r="G159" s="3">
        <x:v>2</x:v>
      </x:c>
      <x:c r="H159" s="2" t="s">
        <x:v>18</x:v>
      </x:c>
      <x:c r="I159" s="7">
        <x:v>292.08</x:v>
      </x:c>
      <x:c r="J159" s="2"/>
      <x:c r="K159" s="5" t="e">
        <x:f>Tabela1[[#This Row],[Estoque total]]-Tabela1[[#This Row],[Consumo]]</x:f>
        <x:v>#VALUE!</x:v>
      </x:c>
      <x:c r="L159" s="9" t="e">
        <x:f>(Tabela1[[#This Row],[Valor total]]/Tabela1[[#This Row],[Estoque total]])*Tabela1[[#This Row],[Consumo]]</x:f>
        <x:v>#VALUE!</x:v>
      </x:c>
    </x:row>
    <x:row r="160">
      <x:c r="A160" s="2" t="s">
        <x:v>330</x:v>
      </x:c>
      <x:c r="B160" s="2" t="s">
        <x:v>331</x:v>
      </x:c>
      <x:c r="C160" s="2" t="s">
        <x:v>14</x:v>
      </x:c>
      <x:c r="D160" s="2" t="s">
        <x:v>15</x:v>
      </x:c>
      <x:c r="E160" s="2" t="s">
        <x:v>16</x:v>
      </x:c>
      <x:c r="F160" s="2" t="s">
        <x:v>17</x:v>
      </x:c>
      <x:c r="G160" s="3">
        <x:v>12</x:v>
      </x:c>
      <x:c r="H160" s="2" t="s">
        <x:v>18</x:v>
      </x:c>
      <x:c r="I160" s="7">
        <x:v>1098.5999999999999</x:v>
      </x:c>
      <x:c r="J160" s="2"/>
      <x:c r="K160" s="5" t="e">
        <x:f>Tabela1[[#This Row],[Estoque total]]-Tabela1[[#This Row],[Consumo]]</x:f>
        <x:v>#VALUE!</x:v>
      </x:c>
      <x:c r="L160" s="9" t="e">
        <x:f>(Tabela1[[#This Row],[Valor total]]/Tabela1[[#This Row],[Estoque total]])*Tabela1[[#This Row],[Consumo]]</x:f>
        <x:v>#VALUE!</x:v>
      </x:c>
    </x:row>
    <x:row r="161">
      <x:c r="A161" s="2" t="s">
        <x:v>332</x:v>
      </x:c>
      <x:c r="B161" s="2" t="s">
        <x:v>333</x:v>
      </x:c>
      <x:c r="C161" s="2" t="s">
        <x:v>14</x:v>
      </x:c>
      <x:c r="D161" s="2" t="s">
        <x:v>15</x:v>
      </x:c>
      <x:c r="E161" s="2" t="s">
        <x:v>16</x:v>
      </x:c>
      <x:c r="F161" s="2" t="s">
        <x:v>17</x:v>
      </x:c>
      <x:c r="G161" s="3">
        <x:v>12</x:v>
      </x:c>
      <x:c r="H161" s="2" t="s">
        <x:v>18</x:v>
      </x:c>
      <x:c r="I161" s="7">
        <x:v>358.2</x:v>
      </x:c>
      <x:c r="J161" s="2"/>
      <x:c r="K161" s="5" t="e">
        <x:f>Tabela1[[#This Row],[Estoque total]]-Tabela1[[#This Row],[Consumo]]</x:f>
        <x:v>#VALUE!</x:v>
      </x:c>
      <x:c r="L161" s="9" t="e">
        <x:f>(Tabela1[[#This Row],[Valor total]]/Tabela1[[#This Row],[Estoque total]])*Tabela1[[#This Row],[Consumo]]</x:f>
        <x:v>#VALUE!</x:v>
      </x:c>
    </x:row>
    <x:row r="162">
      <x:c r="A162" s="2" t="s">
        <x:v>334</x:v>
      </x:c>
      <x:c r="B162" s="2" t="s">
        <x:v>335</x:v>
      </x:c>
      <x:c r="C162" s="2" t="s">
        <x:v>14</x:v>
      </x:c>
      <x:c r="D162" s="2" t="s">
        <x:v>15</x:v>
      </x:c>
      <x:c r="E162" s="2" t="s">
        <x:v>16</x:v>
      </x:c>
      <x:c r="F162" s="2" t="s">
        <x:v>17</x:v>
      </x:c>
      <x:c r="G162" s="3">
        <x:v>20</x:v>
      </x:c>
      <x:c r="H162" s="2" t="s">
        <x:v>18</x:v>
      </x:c>
      <x:c r="I162" s="7">
        <x:v>1764</x:v>
      </x:c>
      <x:c r="J162" s="2"/>
      <x:c r="K162" s="5" t="e">
        <x:f>Tabela1[[#This Row],[Estoque total]]-Tabela1[[#This Row],[Consumo]]</x:f>
        <x:v>#VALUE!</x:v>
      </x:c>
      <x:c r="L162" s="9" t="e">
        <x:f>(Tabela1[[#This Row],[Valor total]]/Tabela1[[#This Row],[Estoque total]])*Tabela1[[#This Row],[Consumo]]</x:f>
        <x:v>#VALUE!</x:v>
      </x:c>
    </x:row>
    <x:row r="163">
      <x:c r="A163" s="2" t="s">
        <x:v>336</x:v>
      </x:c>
      <x:c r="B163" s="2" t="s">
        <x:v>337</x:v>
      </x:c>
      <x:c r="C163" s="2" t="s">
        <x:v>14</x:v>
      </x:c>
      <x:c r="D163" s="2" t="s">
        <x:v>15</x:v>
      </x:c>
      <x:c r="E163" s="2" t="s">
        <x:v>16</x:v>
      </x:c>
      <x:c r="F163" s="2" t="s">
        <x:v>31</x:v>
      </x:c>
      <x:c r="G163" s="3">
        <x:v>100</x:v>
      </x:c>
      <x:c r="H163" s="2" t="s">
        <x:v>18</x:v>
      </x:c>
      <x:c r="I163" s="7">
        <x:v>1.46</x:v>
      </x:c>
      <x:c r="J163" s="2"/>
      <x:c r="K163" s="5" t="e">
        <x:f>Tabela1[[#This Row],[Estoque total]]-Tabela1[[#This Row],[Consumo]]</x:f>
        <x:v>#VALUE!</x:v>
      </x:c>
      <x:c r="L163" s="9" t="e">
        <x:f>(Tabela1[[#This Row],[Valor total]]/Tabela1[[#This Row],[Estoque total]])*Tabela1[[#This Row],[Consumo]]</x:f>
        <x:v>#VALUE!</x:v>
      </x:c>
    </x:row>
    <x:row r="164">
      <x:c r="A164" s="2" t="s">
        <x:v>338</x:v>
      </x:c>
      <x:c r="B164" s="2" t="s">
        <x:v>339</x:v>
      </x:c>
      <x:c r="C164" s="2" t="s">
        <x:v>14</x:v>
      </x:c>
      <x:c r="D164" s="2" t="s">
        <x:v>15</x:v>
      </x:c>
      <x:c r="E164" s="2" t="s">
        <x:v>16</x:v>
      </x:c>
      <x:c r="F164" s="2" t="s">
        <x:v>17</x:v>
      </x:c>
      <x:c r="G164" s="3">
        <x:v>1215</x:v>
      </x:c>
      <x:c r="H164" s="2" t="s">
        <x:v>18</x:v>
      </x:c>
      <x:c r="I164" s="7">
        <x:v>1640.25</x:v>
      </x:c>
      <x:c r="J164" s="2" t="n">
        <x:v>25</x:v>
      </x:c>
      <x:c r="K164" s="5" t="n">
        <x:f>Tabela1[[#This Row],[Estoque total]]-Tabela1[[#This Row],[Consumo]]</x:f>
        <x:v>1190</x:v>
      </x:c>
      <x:c r="L164" s="9" t="n">
        <x:f>(Tabela1[[#This Row],[Valor total]]/Tabela1[[#This Row],[Estoque total]])*Tabela1[[#This Row],[Consumo]]</x:f>
        <x:v>33.75</x:v>
      </x:c>
    </x:row>
    <x:row r="165">
      <x:c r="A165" s="2" t="s">
        <x:v>340</x:v>
      </x:c>
      <x:c r="B165" s="2" t="s">
        <x:v>341</x:v>
      </x:c>
      <x:c r="C165" s="2" t="s">
        <x:v>14</x:v>
      </x:c>
      <x:c r="D165" s="2" t="s">
        <x:v>15</x:v>
      </x:c>
      <x:c r="E165" s="2" t="s">
        <x:v>16</x:v>
      </x:c>
      <x:c r="F165" s="2" t="s">
        <x:v>17</x:v>
      </x:c>
      <x:c r="G165" s="3">
        <x:v>24</x:v>
      </x:c>
      <x:c r="H165" s="2" t="s">
        <x:v>18</x:v>
      </x:c>
      <x:c r="I165" s="7">
        <x:v>83.52</x:v>
      </x:c>
      <x:c r="J165" s="2"/>
      <x:c r="K165" s="5" t="e">
        <x:f>Tabela1[[#This Row],[Estoque total]]-Tabela1[[#This Row],[Consumo]]</x:f>
        <x:v>#VALUE!</x:v>
      </x:c>
      <x:c r="L165" s="9" t="e">
        <x:f>(Tabela1[[#This Row],[Valor total]]/Tabela1[[#This Row],[Estoque total]])*Tabela1[[#This Row],[Consumo]]</x:f>
        <x:v>#VALUE!</x:v>
      </x:c>
    </x:row>
    <x:row r="166">
      <x:c r="A166" s="2" t="s">
        <x:v>342</x:v>
      </x:c>
      <x:c r="B166" s="2" t="s">
        <x:v>343</x:v>
      </x:c>
      <x:c r="C166" s="2" t="s">
        <x:v>14</x:v>
      </x:c>
      <x:c r="D166" s="2" t="s">
        <x:v>15</x:v>
      </x:c>
      <x:c r="E166" s="2" t="s">
        <x:v>16</x:v>
      </x:c>
      <x:c r="F166" s="2" t="s">
        <x:v>17</x:v>
      </x:c>
      <x:c r="G166" s="3">
        <x:v>8</x:v>
      </x:c>
      <x:c r="H166" s="2" t="s">
        <x:v>18</x:v>
      </x:c>
      <x:c r="I166" s="7">
        <x:v>196.72</x:v>
      </x:c>
      <x:c r="J166" s="2" t="n">
        <x:v>2</x:v>
      </x:c>
      <x:c r="K166" s="5" t="n">
        <x:f>Tabela1[[#This Row],[Estoque total]]-Tabela1[[#This Row],[Consumo]]</x:f>
        <x:v>6</x:v>
      </x:c>
      <x:c r="L166" s="9" t="n">
        <x:f>(Tabela1[[#This Row],[Valor total]]/Tabela1[[#This Row],[Estoque total]])*Tabela1[[#This Row],[Consumo]]</x:f>
        <x:v>49.18</x:v>
      </x:c>
    </x:row>
    <x:row r="167">
      <x:c r="A167" s="2" t="s">
        <x:v>344</x:v>
      </x:c>
      <x:c r="B167" s="2" t="s">
        <x:v>345</x:v>
      </x:c>
      <x:c r="C167" s="2" t="s">
        <x:v>14</x:v>
      </x:c>
      <x:c r="D167" s="2" t="s">
        <x:v>15</x:v>
      </x:c>
      <x:c r="E167" s="2" t="s">
        <x:v>16</x:v>
      </x:c>
      <x:c r="F167" s="2" t="s">
        <x:v>17</x:v>
      </x:c>
      <x:c r="G167" s="3">
        <x:v>56</x:v>
      </x:c>
      <x:c r="H167" s="2" t="s">
        <x:v>18</x:v>
      </x:c>
      <x:c r="I167" s="7">
        <x:v>3248</x:v>
      </x:c>
      <x:c r="J167" s="2" t="n">
        <x:v>4</x:v>
      </x:c>
      <x:c r="K167" s="5" t="n">
        <x:f>Tabela1[[#This Row],[Estoque total]]-Tabela1[[#This Row],[Consumo]]</x:f>
        <x:v>52</x:v>
      </x:c>
      <x:c r="L167" s="9" t="n">
        <x:f>(Tabela1[[#This Row],[Valor total]]/Tabela1[[#This Row],[Estoque total]])*Tabela1[[#This Row],[Consumo]]</x:f>
        <x:v>232</x:v>
      </x:c>
    </x:row>
    <x:row r="168">
      <x:c r="A168" s="2" t="s">
        <x:v>346</x:v>
      </x:c>
      <x:c r="B168" s="2" t="s">
        <x:v>347</x:v>
      </x:c>
      <x:c r="C168" s="2" t="s">
        <x:v>14</x:v>
      </x:c>
      <x:c r="D168" s="2" t="s">
        <x:v>15</x:v>
      </x:c>
      <x:c r="E168" s="2" t="s">
        <x:v>16</x:v>
      </x:c>
      <x:c r="F168" s="2" t="s">
        <x:v>17</x:v>
      </x:c>
      <x:c r="G168" s="3">
        <x:v>1</x:v>
      </x:c>
      <x:c r="H168" s="2" t="s">
        <x:v>18</x:v>
      </x:c>
      <x:c r="I168" s="7">
        <x:v>148.1</x:v>
      </x:c>
      <x:c r="J168" s="2"/>
      <x:c r="K168" s="5" t="e">
        <x:f>Tabela1[[#This Row],[Estoque total]]-Tabela1[[#This Row],[Consumo]]</x:f>
        <x:v>#VALUE!</x:v>
      </x:c>
      <x:c r="L168" s="9" t="e">
        <x:f>(Tabela1[[#This Row],[Valor total]]/Tabela1[[#This Row],[Estoque total]])*Tabela1[[#This Row],[Consumo]]</x:f>
        <x:v>#VALUE!</x:v>
      </x:c>
    </x:row>
    <x:row r="169">
      <x:c r="A169" s="2" t="s">
        <x:v>348</x:v>
      </x:c>
      <x:c r="B169" s="2" t="s">
        <x:v>349</x:v>
      </x:c>
      <x:c r="C169" s="2" t="s">
        <x:v>14</x:v>
      </x:c>
      <x:c r="D169" s="2" t="s">
        <x:v>15</x:v>
      </x:c>
      <x:c r="E169" s="2" t="s">
        <x:v>16</x:v>
      </x:c>
      <x:c r="F169" s="2" t="s">
        <x:v>31</x:v>
      </x:c>
      <x:c r="G169" s="3">
        <x:v>1</x:v>
      </x:c>
      <x:c r="H169" s="2" t="s">
        <x:v>18</x:v>
      </x:c>
      <x:c r="I169" s="7">
        <x:v>1.3</x:v>
      </x:c>
      <x:c r="J169" s="2"/>
      <x:c r="K169" s="5" t="e">
        <x:f>Tabela1[[#This Row],[Estoque total]]-Tabela1[[#This Row],[Consumo]]</x:f>
        <x:v>#VALUE!</x:v>
      </x:c>
      <x:c r="L169" s="9" t="e">
        <x:f>(Tabela1[[#This Row],[Valor total]]/Tabela1[[#This Row],[Estoque total]])*Tabela1[[#This Row],[Consumo]]</x:f>
        <x:v>#VALUE!</x:v>
      </x:c>
    </x:row>
    <x:row r="170">
      <x:c r="A170" s="2" t="s">
        <x:v>350</x:v>
      </x:c>
      <x:c r="B170" s="2" t="s">
        <x:v>351</x:v>
      </x:c>
      <x:c r="C170" s="2" t="s">
        <x:v>14</x:v>
      </x:c>
      <x:c r="D170" s="2" t="s">
        <x:v>15</x:v>
      </x:c>
      <x:c r="E170" s="2" t="s">
        <x:v>16</x:v>
      </x:c>
      <x:c r="F170" s="2" t="s">
        <x:v>17</x:v>
      </x:c>
      <x:c r="G170" s="3">
        <x:v>28</x:v>
      </x:c>
      <x:c r="H170" s="2" t="s">
        <x:v>18</x:v>
      </x:c>
      <x:c r="I170" s="7">
        <x:v>411.88</x:v>
      </x:c>
      <x:c r="J170" s="2"/>
      <x:c r="K170" s="5" t="e">
        <x:f>Tabela1[[#This Row],[Estoque total]]-Tabela1[[#This Row],[Consumo]]</x:f>
        <x:v>#VALUE!</x:v>
      </x:c>
      <x:c r="L170" s="9" t="e">
        <x:f>(Tabela1[[#This Row],[Valor total]]/Tabela1[[#This Row],[Estoque total]])*Tabela1[[#This Row],[Consumo]]</x:f>
        <x:v>#VALUE!</x:v>
      </x:c>
    </x:row>
    <x:row r="171">
      <x:c r="A171" s="2" t="s">
        <x:v>352</x:v>
      </x:c>
      <x:c r="B171" s="2" t="s">
        <x:v>353</x:v>
      </x:c>
      <x:c r="C171" s="2" t="s">
        <x:v>14</x:v>
      </x:c>
      <x:c r="D171" s="2" t="s">
        <x:v>15</x:v>
      </x:c>
      <x:c r="E171" s="2" t="s">
        <x:v>16</x:v>
      </x:c>
      <x:c r="F171" s="2" t="s">
        <x:v>17</x:v>
      </x:c>
      <x:c r="G171" s="3">
        <x:v>95</x:v>
      </x:c>
      <x:c r="H171" s="2" t="s">
        <x:v>18</x:v>
      </x:c>
      <x:c r="I171" s="7">
        <x:v>5690.39</x:v>
      </x:c>
      <x:c r="J171" s="2"/>
      <x:c r="K171" s="5" t="e">
        <x:f>Tabela1[[#This Row],[Estoque total]]-Tabela1[[#This Row],[Consumo]]</x:f>
        <x:v>#VALUE!</x:v>
      </x:c>
      <x:c r="L171" s="9" t="e">
        <x:f>(Tabela1[[#This Row],[Valor total]]/Tabela1[[#This Row],[Estoque total]])*Tabela1[[#This Row],[Consumo]]</x:f>
        <x:v>#VALUE!</x:v>
      </x:c>
    </x:row>
    <x:row r="172">
      <x:c r="A172" s="2" t="s">
        <x:v>354</x:v>
      </x:c>
      <x:c r="B172" s="2" t="s">
        <x:v>355</x:v>
      </x:c>
      <x:c r="C172" s="2" t="s">
        <x:v>14</x:v>
      </x:c>
      <x:c r="D172" s="2" t="s">
        <x:v>15</x:v>
      </x:c>
      <x:c r="E172" s="2" t="s">
        <x:v>16</x:v>
      </x:c>
      <x:c r="F172" s="2" t="s">
        <x:v>17</x:v>
      </x:c>
      <x:c r="G172" s="3">
        <x:v>38</x:v>
      </x:c>
      <x:c r="H172" s="2" t="s">
        <x:v>18</x:v>
      </x:c>
      <x:c r="I172" s="7">
        <x:v>2837.58</x:v>
      </x:c>
      <x:c r="J172" s="2"/>
      <x:c r="K172" s="5" t="e">
        <x:f>Tabela1[[#This Row],[Estoque total]]-Tabela1[[#This Row],[Consumo]]</x:f>
        <x:v>#VALUE!</x:v>
      </x:c>
      <x:c r="L172" s="9" t="e">
        <x:f>(Tabela1[[#This Row],[Valor total]]/Tabela1[[#This Row],[Estoque total]])*Tabela1[[#This Row],[Consumo]]</x:f>
        <x:v>#VALUE!</x:v>
      </x:c>
    </x:row>
    <x:row r="173">
      <x:c r="A173" s="2" t="s">
        <x:v>356</x:v>
      </x:c>
      <x:c r="B173" s="2" t="s">
        <x:v>357</x:v>
      </x:c>
      <x:c r="C173" s="2" t="s">
        <x:v>14</x:v>
      </x:c>
      <x:c r="D173" s="2" t="s">
        <x:v>15</x:v>
      </x:c>
      <x:c r="E173" s="2" t="s">
        <x:v>16</x:v>
      </x:c>
      <x:c r="F173" s="2" t="s">
        <x:v>17</x:v>
      </x:c>
      <x:c r="G173" s="3">
        <x:v>90</x:v>
      </x:c>
      <x:c r="H173" s="2" t="s">
        <x:v>18</x:v>
      </x:c>
      <x:c r="I173" s="7">
        <x:v>410.4</x:v>
      </x:c>
      <x:c r="J173" s="2"/>
      <x:c r="K173" s="5" t="e">
        <x:f>Tabela1[[#This Row],[Estoque total]]-Tabela1[[#This Row],[Consumo]]</x:f>
        <x:v>#VALUE!</x:v>
      </x:c>
      <x:c r="L173" s="9" t="e">
        <x:f>(Tabela1[[#This Row],[Valor total]]/Tabela1[[#This Row],[Estoque total]])*Tabela1[[#This Row],[Consumo]]</x:f>
        <x:v>#VALUE!</x:v>
      </x:c>
    </x:row>
    <x:row r="174">
      <x:c r="A174" s="2" t="s">
        <x:v>358</x:v>
      </x:c>
      <x:c r="B174" s="2" t="s">
        <x:v>359</x:v>
      </x:c>
      <x:c r="C174" s="2" t="s">
        <x:v>14</x:v>
      </x:c>
      <x:c r="D174" s="2" t="s">
        <x:v>15</x:v>
      </x:c>
      <x:c r="E174" s="2" t="s">
        <x:v>16</x:v>
      </x:c>
      <x:c r="F174" s="2" t="s">
        <x:v>17</x:v>
      </x:c>
      <x:c r="G174" s="3">
        <x:v>39</x:v>
      </x:c>
      <x:c r="H174" s="2" t="s">
        <x:v>18</x:v>
      </x:c>
      <x:c r="I174" s="7">
        <x:v>164.58</x:v>
      </x:c>
      <x:c r="J174" s="2"/>
      <x:c r="K174" s="5" t="e">
        <x:f>Tabela1[[#This Row],[Estoque total]]-Tabela1[[#This Row],[Consumo]]</x:f>
        <x:v>#VALUE!</x:v>
      </x:c>
      <x:c r="L174" s="9" t="e">
        <x:f>(Tabela1[[#This Row],[Valor total]]/Tabela1[[#This Row],[Estoque total]])*Tabela1[[#This Row],[Consumo]]</x:f>
        <x:v>#VALUE!</x:v>
      </x:c>
    </x:row>
    <x:row r="175">
      <x:c r="A175" s="2" t="s">
        <x:v>360</x:v>
      </x:c>
      <x:c r="B175" s="2" t="s">
        <x:v>361</x:v>
      </x:c>
      <x:c r="C175" s="2" t="s">
        <x:v>14</x:v>
      </x:c>
      <x:c r="D175" s="2" t="s">
        <x:v>15</x:v>
      </x:c>
      <x:c r="E175" s="2" t="s">
        <x:v>16</x:v>
      </x:c>
      <x:c r="F175" s="2" t="s">
        <x:v>17</x:v>
      </x:c>
      <x:c r="G175" s="3">
        <x:v>58</x:v>
      </x:c>
      <x:c r="H175" s="2" t="s">
        <x:v>18</x:v>
      </x:c>
      <x:c r="I175" s="7">
        <x:v>1814.82</x:v>
      </x:c>
      <x:c r="J175" s="2"/>
      <x:c r="K175" s="5" t="e">
        <x:f>Tabela1[[#This Row],[Estoque total]]-Tabela1[[#This Row],[Consumo]]</x:f>
        <x:v>#VALUE!</x:v>
      </x:c>
      <x:c r="L175" s="9" t="e">
        <x:f>(Tabela1[[#This Row],[Valor total]]/Tabela1[[#This Row],[Estoque total]])*Tabela1[[#This Row],[Consumo]]</x:f>
        <x:v>#VALUE!</x:v>
      </x:c>
    </x:row>
    <x:row r="176">
      <x:c r="A176" s="2" t="s">
        <x:v>362</x:v>
      </x:c>
      <x:c r="B176" s="2" t="s">
        <x:v>363</x:v>
      </x:c>
      <x:c r="C176" s="2" t="s">
        <x:v>14</x:v>
      </x:c>
      <x:c r="D176" s="2" t="s">
        <x:v>15</x:v>
      </x:c>
      <x:c r="E176" s="2" t="s">
        <x:v>16</x:v>
      </x:c>
      <x:c r="F176" s="2" t="s">
        <x:v>17</x:v>
      </x:c>
      <x:c r="G176" s="3">
        <x:v>29</x:v>
      </x:c>
      <x:c r="H176" s="2" t="s">
        <x:v>18</x:v>
      </x:c>
      <x:c r="I176" s="7">
        <x:v>176.61</x:v>
      </x:c>
      <x:c r="J176" s="2"/>
      <x:c r="K176" s="5" t="e">
        <x:f>Tabela1[[#This Row],[Estoque total]]-Tabela1[[#This Row],[Consumo]]</x:f>
        <x:v>#VALUE!</x:v>
      </x:c>
      <x:c r="L176" s="9" t="e">
        <x:f>(Tabela1[[#This Row],[Valor total]]/Tabela1[[#This Row],[Estoque total]])*Tabela1[[#This Row],[Consumo]]</x:f>
        <x:v>#VALUE!</x:v>
      </x:c>
    </x:row>
    <x:row r="177">
      <x:c r="A177" s="2" t="s">
        <x:v>364</x:v>
      </x:c>
      <x:c r="B177" s="2" t="s">
        <x:v>365</x:v>
      </x:c>
      <x:c r="C177" s="2" t="s">
        <x:v>14</x:v>
      </x:c>
      <x:c r="D177" s="2" t="s">
        <x:v>15</x:v>
      </x:c>
      <x:c r="E177" s="2" t="s">
        <x:v>16</x:v>
      </x:c>
      <x:c r="F177" s="2" t="s">
        <x:v>17</x:v>
      </x:c>
      <x:c r="G177" s="3">
        <x:v>322</x:v>
      </x:c>
      <x:c r="H177" s="2" t="s">
        <x:v>18</x:v>
      </x:c>
      <x:c r="I177" s="7">
        <x:v>704.35</x:v>
      </x:c>
      <x:c r="J177" s="2"/>
      <x:c r="K177" s="5" t="e">
        <x:f>Tabela1[[#This Row],[Estoque total]]-Tabela1[[#This Row],[Consumo]]</x:f>
        <x:v>#VALUE!</x:v>
      </x:c>
      <x:c r="L177" s="9" t="e">
        <x:f>(Tabela1[[#This Row],[Valor total]]/Tabela1[[#This Row],[Estoque total]])*Tabela1[[#This Row],[Consumo]]</x:f>
        <x:v>#VALUE!</x:v>
      </x:c>
    </x:row>
    <x:row r="178">
      <x:c r="A178" s="2" t="s">
        <x:v>366</x:v>
      </x:c>
      <x:c r="B178" s="2" t="s">
        <x:v>367</x:v>
      </x:c>
      <x:c r="C178" s="2" t="s">
        <x:v>14</x:v>
      </x:c>
      <x:c r="D178" s="2" t="s">
        <x:v>15</x:v>
      </x:c>
      <x:c r="E178" s="2" t="s">
        <x:v>16</x:v>
      </x:c>
      <x:c r="F178" s="2" t="s">
        <x:v>17</x:v>
      </x:c>
      <x:c r="G178" s="3">
        <x:v>305</x:v>
      </x:c>
      <x:c r="H178" s="2" t="s">
        <x:v>18</x:v>
      </x:c>
      <x:c r="I178" s="7">
        <x:v>684.62</x:v>
      </x:c>
      <x:c r="J178" s="2"/>
      <x:c r="K178" s="5" t="e">
        <x:f>Tabela1[[#This Row],[Estoque total]]-Tabela1[[#This Row],[Consumo]]</x:f>
        <x:v>#VALUE!</x:v>
      </x:c>
      <x:c r="L178" s="9" t="e">
        <x:f>(Tabela1[[#This Row],[Valor total]]/Tabela1[[#This Row],[Estoque total]])*Tabela1[[#This Row],[Consumo]]</x:f>
        <x:v>#VALUE!</x:v>
      </x:c>
    </x:row>
    <x:row r="179">
      <x:c r="A179" s="2" t="s">
        <x:v>368</x:v>
      </x:c>
      <x:c r="B179" s="2" t="s">
        <x:v>369</x:v>
      </x:c>
      <x:c r="C179" s="2" t="s">
        <x:v>14</x:v>
      </x:c>
      <x:c r="D179" s="2" t="s">
        <x:v>15</x:v>
      </x:c>
      <x:c r="E179" s="2" t="s">
        <x:v>16</x:v>
      </x:c>
      <x:c r="F179" s="2" t="s">
        <x:v>17</x:v>
      </x:c>
      <x:c r="G179" s="3">
        <x:v>361</x:v>
      </x:c>
      <x:c r="H179" s="2" t="s">
        <x:v>18</x:v>
      </x:c>
      <x:c r="I179" s="7">
        <x:v>731.74</x:v>
      </x:c>
      <x:c r="J179" s="2"/>
      <x:c r="K179" s="5" t="e">
        <x:f>Tabela1[[#This Row],[Estoque total]]-Tabela1[[#This Row],[Consumo]]</x:f>
        <x:v>#VALUE!</x:v>
      </x:c>
      <x:c r="L179" s="9" t="e">
        <x:f>(Tabela1[[#This Row],[Valor total]]/Tabela1[[#This Row],[Estoque total]])*Tabela1[[#This Row],[Consumo]]</x:f>
        <x:v>#VALUE!</x:v>
      </x:c>
    </x:row>
    <x:row r="180">
      <x:c r="A180" s="2" t="s">
        <x:v>370</x:v>
      </x:c>
      <x:c r="B180" s="2" t="s">
        <x:v>371</x:v>
      </x:c>
      <x:c r="C180" s="2" t="s">
        <x:v>14</x:v>
      </x:c>
      <x:c r="D180" s="2" t="s">
        <x:v>15</x:v>
      </x:c>
      <x:c r="E180" s="2" t="s">
        <x:v>16</x:v>
      </x:c>
      <x:c r="F180" s="2" t="s">
        <x:v>17</x:v>
      </x:c>
      <x:c r="G180" s="3">
        <x:v>103</x:v>
      </x:c>
      <x:c r="H180" s="2" t="s">
        <x:v>18</x:v>
      </x:c>
      <x:c r="I180" s="7">
        <x:v>230.7</x:v>
      </x:c>
      <x:c r="J180" s="2"/>
      <x:c r="K180" s="5" t="e">
        <x:f>Tabela1[[#This Row],[Estoque total]]-Tabela1[[#This Row],[Consumo]]</x:f>
        <x:v>#VALUE!</x:v>
      </x:c>
      <x:c r="L180" s="9" t="e">
        <x:f>(Tabela1[[#This Row],[Valor total]]/Tabela1[[#This Row],[Estoque total]])*Tabela1[[#This Row],[Consumo]]</x:f>
        <x:v>#VALUE!</x:v>
      </x:c>
    </x:row>
    <x:row r="181">
      <x:c r="A181" s="2" t="s">
        <x:v>372</x:v>
      </x:c>
      <x:c r="B181" s="2" t="s">
        <x:v>373</x:v>
      </x:c>
      <x:c r="C181" s="2" t="s">
        <x:v>14</x:v>
      </x:c>
      <x:c r="D181" s="2" t="s">
        <x:v>15</x:v>
      </x:c>
      <x:c r="E181" s="2" t="s">
        <x:v>16</x:v>
      </x:c>
      <x:c r="F181" s="2" t="s">
        <x:v>17</x:v>
      </x:c>
      <x:c r="G181" s="3">
        <x:v>258</x:v>
      </x:c>
      <x:c r="H181" s="2" t="s">
        <x:v>18</x:v>
      </x:c>
      <x:c r="I181" s="7">
        <x:v>436.02</x:v>
      </x:c>
      <x:c r="J181" s="2"/>
      <x:c r="K181" s="5" t="e">
        <x:f>Tabela1[[#This Row],[Estoque total]]-Tabela1[[#This Row],[Consumo]]</x:f>
        <x:v>#VALUE!</x:v>
      </x:c>
      <x:c r="L181" s="9" t="e">
        <x:f>(Tabela1[[#This Row],[Valor total]]/Tabela1[[#This Row],[Estoque total]])*Tabela1[[#This Row],[Consumo]]</x:f>
        <x:v>#VALUE!</x:v>
      </x:c>
    </x:row>
    <x:row r="182">
      <x:c r="A182" s="2" t="s">
        <x:v>374</x:v>
      </x:c>
      <x:c r="B182" s="2" t="s">
        <x:v>375</x:v>
      </x:c>
      <x:c r="C182" s="2" t="s">
        <x:v>14</x:v>
      </x:c>
      <x:c r="D182" s="2" t="s">
        <x:v>15</x:v>
      </x:c>
      <x:c r="E182" s="2" t="s">
        <x:v>16</x:v>
      </x:c>
      <x:c r="F182" s="2" t="s">
        <x:v>17</x:v>
      </x:c>
      <x:c r="G182" s="3">
        <x:v>536</x:v>
      </x:c>
      <x:c r="H182" s="2" t="s">
        <x:v>18</x:v>
      </x:c>
      <x:c r="I182" s="7">
        <x:v>986.24</x:v>
      </x:c>
      <x:c r="J182" s="2"/>
      <x:c r="K182" s="5" t="e">
        <x:f>Tabela1[[#This Row],[Estoque total]]-Tabela1[[#This Row],[Consumo]]</x:f>
        <x:v>#VALUE!</x:v>
      </x:c>
      <x:c r="L182" s="9" t="e">
        <x:f>(Tabela1[[#This Row],[Valor total]]/Tabela1[[#This Row],[Estoque total]])*Tabela1[[#This Row],[Consumo]]</x:f>
        <x:v>#VALUE!</x:v>
      </x:c>
    </x:row>
    <x:row r="183">
      <x:c r="A183" s="2" t="s">
        <x:v>376</x:v>
      </x:c>
      <x:c r="B183" s="2" t="s">
        <x:v>377</x:v>
      </x:c>
      <x:c r="C183" s="2" t="s">
        <x:v>14</x:v>
      </x:c>
      <x:c r="D183" s="2" t="s">
        <x:v>15</x:v>
      </x:c>
      <x:c r="E183" s="2" t="s">
        <x:v>16</x:v>
      </x:c>
      <x:c r="F183" s="2" t="s">
        <x:v>17</x:v>
      </x:c>
      <x:c r="G183" s="3">
        <x:v>350</x:v>
      </x:c>
      <x:c r="H183" s="2" t="s">
        <x:v>18</x:v>
      </x:c>
      <x:c r="I183" s="7">
        <x:v>2080.75</x:v>
      </x:c>
      <x:c r="J183" s="2" t="n">
        <x:v>21</x:v>
      </x:c>
      <x:c r="K183" s="5" t="n">
        <x:f>Tabela1[[#This Row],[Estoque total]]-Tabela1[[#This Row],[Consumo]]</x:f>
        <x:v>329</x:v>
      </x:c>
      <x:c r="L183" s="9" t="n">
        <x:f>(Tabela1[[#This Row],[Valor total]]/Tabela1[[#This Row],[Estoque total]])*Tabela1[[#This Row],[Consumo]]</x:f>
        <x:v>124.845</x:v>
      </x:c>
    </x:row>
    <x:row r="184">
      <x:c r="A184" s="2" t="s">
        <x:v>378</x:v>
      </x:c>
      <x:c r="B184" s="2" t="s">
        <x:v>379</x:v>
      </x:c>
      <x:c r="C184" s="2" t="s">
        <x:v>14</x:v>
      </x:c>
      <x:c r="D184" s="2" t="s">
        <x:v>15</x:v>
      </x:c>
      <x:c r="E184" s="2" t="s">
        <x:v>16</x:v>
      </x:c>
      <x:c r="F184" s="2" t="s">
        <x:v>31</x:v>
      </x:c>
      <x:c r="G184" s="3">
        <x:v>144</x:v>
      </x:c>
      <x:c r="H184" s="2" t="s">
        <x:v>18</x:v>
      </x:c>
      <x:c r="I184" s="7">
        <x:v>554.4</x:v>
      </x:c>
      <x:c r="J184" s="2"/>
      <x:c r="K184" s="5" t="e">
        <x:f>Tabela1[[#This Row],[Estoque total]]-Tabela1[[#This Row],[Consumo]]</x:f>
        <x:v>#VALUE!</x:v>
      </x:c>
      <x:c r="L184" s="9" t="e">
        <x:f>(Tabela1[[#This Row],[Valor total]]/Tabela1[[#This Row],[Estoque total]])*Tabela1[[#This Row],[Consumo]]</x:f>
        <x:v>#VALUE!</x:v>
      </x:c>
    </x:row>
    <x:row r="185">
      <x:c r="A185" s="2" t="s">
        <x:v>378</x:v>
      </x:c>
      <x:c r="B185" s="2" t="s">
        <x:v>379</x:v>
      </x:c>
      <x:c r="C185" s="2" t="s">
        <x:v>14</x:v>
      </x:c>
      <x:c r="D185" s="2" t="s">
        <x:v>15</x:v>
      </x:c>
      <x:c r="E185" s="2" t="s">
        <x:v>16</x:v>
      </x:c>
      <x:c r="F185" s="2" t="s">
        <x:v>17</x:v>
      </x:c>
      <x:c r="G185" s="3">
        <x:v>1800</x:v>
      </x:c>
      <x:c r="H185" s="2" t="s">
        <x:v>18</x:v>
      </x:c>
      <x:c r="I185" s="7">
        <x:v>3294</x:v>
      </x:c>
      <x:c r="J185" s="2"/>
      <x:c r="K185" s="5" t="e">
        <x:f>Tabela1[[#This Row],[Estoque total]]-Tabela1[[#This Row],[Consumo]]</x:f>
        <x:v>#VALUE!</x:v>
      </x:c>
      <x:c r="L185" s="9" t="e">
        <x:f>(Tabela1[[#This Row],[Valor total]]/Tabela1[[#This Row],[Estoque total]])*Tabela1[[#This Row],[Consumo]]</x:f>
        <x:v>#VALUE!</x:v>
      </x:c>
    </x:row>
    <x:row r="186">
      <x:c r="A186" s="2" t="s">
        <x:v>380</x:v>
      </x:c>
      <x:c r="B186" s="2" t="s">
        <x:v>381</x:v>
      </x:c>
      <x:c r="C186" s="2" t="s">
        <x:v>14</x:v>
      </x:c>
      <x:c r="D186" s="2" t="s">
        <x:v>15</x:v>
      </x:c>
      <x:c r="E186" s="2" t="s">
        <x:v>16</x:v>
      </x:c>
      <x:c r="F186" s="2" t="s">
        <x:v>17</x:v>
      </x:c>
      <x:c r="G186" s="3">
        <x:v>58</x:v>
      </x:c>
      <x:c r="H186" s="2" t="s">
        <x:v>18</x:v>
      </x:c>
      <x:c r="I186" s="7">
        <x:v>275.5</x:v>
      </x:c>
      <x:c r="J186" s="2"/>
      <x:c r="K186" s="5" t="e">
        <x:f>Tabela1[[#This Row],[Estoque total]]-Tabela1[[#This Row],[Consumo]]</x:f>
        <x:v>#VALUE!</x:v>
      </x:c>
      <x:c r="L186" s="9" t="e">
        <x:f>(Tabela1[[#This Row],[Valor total]]/Tabela1[[#This Row],[Estoque total]])*Tabela1[[#This Row],[Consumo]]</x:f>
        <x:v>#VALUE!</x:v>
      </x:c>
    </x:row>
    <x:row r="187">
      <x:c r="A187" s="2" t="s">
        <x:v>382</x:v>
      </x:c>
      <x:c r="B187" s="2" t="s">
        <x:v>383</x:v>
      </x:c>
      <x:c r="C187" s="2" t="s">
        <x:v>14</x:v>
      </x:c>
      <x:c r="D187" s="2" t="s">
        <x:v>15</x:v>
      </x:c>
      <x:c r="E187" s="2" t="s">
        <x:v>16</x:v>
      </x:c>
      <x:c r="F187" s="2" t="s">
        <x:v>17</x:v>
      </x:c>
      <x:c r="G187" s="3">
        <x:v>9</x:v>
      </x:c>
      <x:c r="H187" s="2" t="s">
        <x:v>18</x:v>
      </x:c>
      <x:c r="I187" s="7">
        <x:v>74.16</x:v>
      </x:c>
      <x:c r="J187" s="2"/>
      <x:c r="K187" s="5" t="e">
        <x:f>Tabela1[[#This Row],[Estoque total]]-Tabela1[[#This Row],[Consumo]]</x:f>
        <x:v>#VALUE!</x:v>
      </x:c>
      <x:c r="L187" s="9" t="e">
        <x:f>(Tabela1[[#This Row],[Valor total]]/Tabela1[[#This Row],[Estoque total]])*Tabela1[[#This Row],[Consumo]]</x:f>
        <x:v>#VALUE!</x:v>
      </x:c>
    </x:row>
    <x:row r="188">
      <x:c r="A188" s="2" t="s">
        <x:v>384</x:v>
      </x:c>
      <x:c r="B188" s="2" t="s">
        <x:v>385</x:v>
      </x:c>
      <x:c r="C188" s="2" t="s">
        <x:v>14</x:v>
      </x:c>
      <x:c r="D188" s="2" t="s">
        <x:v>15</x:v>
      </x:c>
      <x:c r="E188" s="2" t="s">
        <x:v>16</x:v>
      </x:c>
      <x:c r="F188" s="2" t="s">
        <x:v>17</x:v>
      </x:c>
      <x:c r="G188" s="3">
        <x:v>2</x:v>
      </x:c>
      <x:c r="H188" s="2" t="s">
        <x:v>18</x:v>
      </x:c>
      <x:c r="I188" s="7">
        <x:v>1296</x:v>
      </x:c>
      <x:c r="J188" s="2"/>
      <x:c r="K188" s="5" t="e">
        <x:f>Tabela1[[#This Row],[Estoque total]]-Tabela1[[#This Row],[Consumo]]</x:f>
        <x:v>#VALUE!</x:v>
      </x:c>
      <x:c r="L188" s="9" t="e">
        <x:f>(Tabela1[[#This Row],[Valor total]]/Tabela1[[#This Row],[Estoque total]])*Tabela1[[#This Row],[Consumo]]</x:f>
        <x:v>#VALUE!</x:v>
      </x:c>
    </x:row>
    <x:row r="189">
      <x:c r="A189" s="2" t="s">
        <x:v>386</x:v>
      </x:c>
      <x:c r="B189" s="2" t="s">
        <x:v>387</x:v>
      </x:c>
      <x:c r="C189" s="2" t="s">
        <x:v>14</x:v>
      </x:c>
      <x:c r="D189" s="2" t="s">
        <x:v>15</x:v>
      </x:c>
      <x:c r="E189" s="2" t="s">
        <x:v>16</x:v>
      </x:c>
      <x:c r="F189" s="2" t="s">
        <x:v>17</x:v>
      </x:c>
      <x:c r="G189" s="3">
        <x:v>4</x:v>
      </x:c>
      <x:c r="H189" s="2" t="s">
        <x:v>18</x:v>
      </x:c>
      <x:c r="I189" s="7">
        <x:v>175.2</x:v>
      </x:c>
      <x:c r="J189" s="2"/>
      <x:c r="K189" s="5" t="e">
        <x:f>Tabela1[[#This Row],[Estoque total]]-Tabela1[[#This Row],[Consumo]]</x:f>
        <x:v>#VALUE!</x:v>
      </x:c>
      <x:c r="L189" s="9" t="e">
        <x:f>(Tabela1[[#This Row],[Valor total]]/Tabela1[[#This Row],[Estoque total]])*Tabela1[[#This Row],[Consumo]]</x:f>
        <x:v>#VALUE!</x:v>
      </x:c>
    </x:row>
    <x:row r="190">
      <x:c r="A190" s="2" t="s">
        <x:v>388</x:v>
      </x:c>
      <x:c r="B190" s="2" t="s">
        <x:v>389</x:v>
      </x:c>
      <x:c r="C190" s="2" t="s">
        <x:v>14</x:v>
      </x:c>
      <x:c r="D190" s="2" t="s">
        <x:v>15</x:v>
      </x:c>
      <x:c r="E190" s="2" t="s">
        <x:v>16</x:v>
      </x:c>
      <x:c r="F190" s="2" t="s">
        <x:v>17</x:v>
      </x:c>
      <x:c r="G190" s="3">
        <x:v>82</x:v>
      </x:c>
      <x:c r="H190" s="2" t="s">
        <x:v>18</x:v>
      </x:c>
      <x:c r="I190" s="7">
        <x:v>769.16</x:v>
      </x:c>
      <x:c r="J190" s="2"/>
      <x:c r="K190" s="5" t="e">
        <x:f>Tabela1[[#This Row],[Estoque total]]-Tabela1[[#This Row],[Consumo]]</x:f>
        <x:v>#VALUE!</x:v>
      </x:c>
      <x:c r="L190" s="9" t="e">
        <x:f>(Tabela1[[#This Row],[Valor total]]/Tabela1[[#This Row],[Estoque total]])*Tabela1[[#This Row],[Consumo]]</x:f>
        <x:v>#VALUE!</x:v>
      </x:c>
    </x:row>
    <x:row r="191">
      <x:c r="A191" s="2" t="s">
        <x:v>390</x:v>
      </x:c>
      <x:c r="B191" s="2" t="s">
        <x:v>391</x:v>
      </x:c>
      <x:c r="C191" s="2" t="s">
        <x:v>14</x:v>
      </x:c>
      <x:c r="D191" s="2" t="s">
        <x:v>15</x:v>
      </x:c>
      <x:c r="E191" s="2" t="s">
        <x:v>16</x:v>
      </x:c>
      <x:c r="F191" s="2" t="s">
        <x:v>17</x:v>
      </x:c>
      <x:c r="G191" s="3">
        <x:v>275</x:v>
      </x:c>
      <x:c r="H191" s="2" t="s">
        <x:v>18</x:v>
      </x:c>
      <x:c r="I191" s="7">
        <x:v>206.25</x:v>
      </x:c>
      <x:c r="J191" s="2" t="n">
        <x:v>21</x:v>
      </x:c>
      <x:c r="K191" s="5" t="n">
        <x:f>Tabela1[[#This Row],[Estoque total]]-Tabela1[[#This Row],[Consumo]]</x:f>
        <x:v>254</x:v>
      </x:c>
      <x:c r="L191" s="9" t="n">
        <x:f>(Tabela1[[#This Row],[Valor total]]/Tabela1[[#This Row],[Estoque total]])*Tabela1[[#This Row],[Consumo]]</x:f>
        <x:v>15.75</x:v>
      </x:c>
    </x:row>
    <x:row r="192">
      <x:c r="A192" s="2" t="s">
        <x:v>392</x:v>
      </x:c>
      <x:c r="B192" s="2" t="s">
        <x:v>393</x:v>
      </x:c>
      <x:c r="C192" s="2" t="s">
        <x:v>14</x:v>
      </x:c>
      <x:c r="D192" s="2" t="s">
        <x:v>15</x:v>
      </x:c>
      <x:c r="E192" s="2" t="s">
        <x:v>16</x:v>
      </x:c>
      <x:c r="F192" s="2" t="s">
        <x:v>17</x:v>
      </x:c>
      <x:c r="G192" s="3">
        <x:v>267</x:v>
      </x:c>
      <x:c r="H192" s="2" t="s">
        <x:v>18</x:v>
      </x:c>
      <x:c r="I192" s="7">
        <x:v>3062.91</x:v>
      </x:c>
      <x:c r="J192" s="2" t="n">
        <x:v>58</x:v>
      </x:c>
      <x:c r="K192" s="5" t="n">
        <x:f>Tabela1[[#This Row],[Estoque total]]-Tabela1[[#This Row],[Consumo]]</x:f>
        <x:v>209</x:v>
      </x:c>
      <x:c r="L192" s="9" t="n">
        <x:f>(Tabela1[[#This Row],[Valor total]]/Tabela1[[#This Row],[Estoque total]])*Tabela1[[#This Row],[Consumo]]</x:f>
        <x:v>665.3512359550562</x:v>
      </x:c>
    </x:row>
    <x:row r="193">
      <x:c r="A193" s="2" t="s">
        <x:v>394</x:v>
      </x:c>
      <x:c r="B193" s="2" t="s">
        <x:v>395</x:v>
      </x:c>
      <x:c r="C193" s="2" t="s">
        <x:v>14</x:v>
      </x:c>
      <x:c r="D193" s="2" t="s">
        <x:v>15</x:v>
      </x:c>
      <x:c r="E193" s="2" t="s">
        <x:v>16</x:v>
      </x:c>
      <x:c r="F193" s="2" t="s">
        <x:v>17</x:v>
      </x:c>
      <x:c r="G193" s="3">
        <x:v>1</x:v>
      </x:c>
      <x:c r="H193" s="2" t="s">
        <x:v>18</x:v>
      </x:c>
      <x:c r="I193" s="7">
        <x:v>7.81</x:v>
      </x:c>
      <x:c r="J193" s="2"/>
      <x:c r="K193" s="5" t="e">
        <x:f>Tabela1[[#This Row],[Estoque total]]-Tabela1[[#This Row],[Consumo]]</x:f>
        <x:v>#VALUE!</x:v>
      </x:c>
      <x:c r="L193" s="9" t="e">
        <x:f>(Tabela1[[#This Row],[Valor total]]/Tabela1[[#This Row],[Estoque total]])*Tabela1[[#This Row],[Consumo]]</x:f>
        <x:v>#VALUE!</x:v>
      </x:c>
    </x:row>
    <x:row r="194">
      <x:c r="A194" s="2" t="s">
        <x:v>396</x:v>
      </x:c>
      <x:c r="B194" s="2" t="s">
        <x:v>397</x:v>
      </x:c>
      <x:c r="C194" s="2" t="s">
        <x:v>14</x:v>
      </x:c>
      <x:c r="D194" s="2" t="s">
        <x:v>15</x:v>
      </x:c>
      <x:c r="E194" s="2" t="s">
        <x:v>16</x:v>
      </x:c>
      <x:c r="F194" s="2" t="s">
        <x:v>17</x:v>
      </x:c>
      <x:c r="G194" s="3">
        <x:v>165</x:v>
      </x:c>
      <x:c r="H194" s="2" t="s">
        <x:v>18</x:v>
      </x:c>
      <x:c r="I194" s="7">
        <x:v>8374.64</x:v>
      </x:c>
      <x:c r="J194" s="2" t="n">
        <x:v>13</x:v>
      </x:c>
      <x:c r="K194" s="5" t="n">
        <x:f>Tabela1[[#This Row],[Estoque total]]-Tabela1[[#This Row],[Consumo]]</x:f>
        <x:v>152</x:v>
      </x:c>
      <x:c r="L194" s="9" t="n">
        <x:f>(Tabela1[[#This Row],[Valor total]]/Tabela1[[#This Row],[Estoque total]])*Tabela1[[#This Row],[Consumo]]</x:f>
        <x:v>659.8201212121211</x:v>
      </x:c>
    </x:row>
    <x:row r="195">
      <x:c r="A195" s="2" t="s">
        <x:v>398</x:v>
      </x:c>
      <x:c r="B195" s="2" t="s">
        <x:v>399</x:v>
      </x:c>
      <x:c r="C195" s="2" t="s">
        <x:v>14</x:v>
      </x:c>
      <x:c r="D195" s="2" t="s">
        <x:v>15</x:v>
      </x:c>
      <x:c r="E195" s="2" t="s">
        <x:v>16</x:v>
      </x:c>
      <x:c r="F195" s="2" t="s">
        <x:v>17</x:v>
      </x:c>
      <x:c r="G195" s="3">
        <x:v>106</x:v>
      </x:c>
      <x:c r="H195" s="2" t="s">
        <x:v>18</x:v>
      </x:c>
      <x:c r="I195" s="7">
        <x:v>5770.03</x:v>
      </x:c>
      <x:c r="J195" s="2"/>
      <x:c r="K195" s="5" t="e">
        <x:f>Tabela1[[#This Row],[Estoque total]]-Tabela1[[#This Row],[Consumo]]</x:f>
        <x:v>#VALUE!</x:v>
      </x:c>
      <x:c r="L195" s="9" t="e">
        <x:f>(Tabela1[[#This Row],[Valor total]]/Tabela1[[#This Row],[Estoque total]])*Tabela1[[#This Row],[Consumo]]</x:f>
        <x:v>#VALUE!</x:v>
      </x:c>
    </x:row>
    <x:row r="196">
      <x:c r="A196" s="2" t="s">
        <x:v>400</x:v>
      </x:c>
      <x:c r="B196" s="2" t="s">
        <x:v>401</x:v>
      </x:c>
      <x:c r="C196" s="2" t="s">
        <x:v>14</x:v>
      </x:c>
      <x:c r="D196" s="2" t="s">
        <x:v>15</x:v>
      </x:c>
      <x:c r="E196" s="2" t="s">
        <x:v>16</x:v>
      </x:c>
      <x:c r="F196" s="2" t="s">
        <x:v>17</x:v>
      </x:c>
      <x:c r="G196" s="3">
        <x:v>246</x:v>
      </x:c>
      <x:c r="H196" s="2" t="s">
        <x:v>18</x:v>
      </x:c>
      <x:c r="I196" s="7">
        <x:v>14745.5</x:v>
      </x:c>
      <x:c r="J196" s="2" t="n">
        <x:v>21</x:v>
      </x:c>
      <x:c r="K196" s="5" t="n">
        <x:f>Tabela1[[#This Row],[Estoque total]]-Tabela1[[#This Row],[Consumo]]</x:f>
        <x:v>225</x:v>
      </x:c>
      <x:c r="L196" s="9" t="n">
        <x:f>(Tabela1[[#This Row],[Valor total]]/Tabela1[[#This Row],[Estoque total]])*Tabela1[[#This Row],[Consumo]]</x:f>
        <x:v>1258.7621951219512</x:v>
      </x:c>
    </x:row>
    <x:row r="197">
      <x:c r="A197" s="2" t="s">
        <x:v>402</x:v>
      </x:c>
      <x:c r="B197" s="2" t="s">
        <x:v>403</x:v>
      </x:c>
      <x:c r="C197" s="2" t="s">
        <x:v>14</x:v>
      </x:c>
      <x:c r="D197" s="2" t="s">
        <x:v>15</x:v>
      </x:c>
      <x:c r="E197" s="2" t="s">
        <x:v>16</x:v>
      </x:c>
      <x:c r="F197" s="2" t="s">
        <x:v>17</x:v>
      </x:c>
      <x:c r="G197" s="3">
        <x:v>226</x:v>
      </x:c>
      <x:c r="H197" s="2" t="s">
        <x:v>18</x:v>
      </x:c>
      <x:c r="I197" s="7">
        <x:v>1966.2</x:v>
      </x:c>
      <x:c r="J197" s="2" t="n">
        <x:v>6</x:v>
      </x:c>
      <x:c r="K197" s="5" t="n">
        <x:f>Tabela1[[#This Row],[Estoque total]]-Tabela1[[#This Row],[Consumo]]</x:f>
        <x:v>220</x:v>
      </x:c>
      <x:c r="L197" s="9" t="n">
        <x:f>(Tabela1[[#This Row],[Valor total]]/Tabela1[[#This Row],[Estoque total]])*Tabela1[[#This Row],[Consumo]]</x:f>
        <x:v>52.2</x:v>
      </x:c>
    </x:row>
    <x:row r="198">
      <x:c r="A198" s="2" t="s">
        <x:v>404</x:v>
      </x:c>
      <x:c r="B198" s="2" t="s">
        <x:v>405</x:v>
      </x:c>
      <x:c r="C198" s="2" t="s">
        <x:v>14</x:v>
      </x:c>
      <x:c r="D198" s="2" t="s">
        <x:v>15</x:v>
      </x:c>
      <x:c r="E198" s="2" t="s">
        <x:v>16</x:v>
      </x:c>
      <x:c r="F198" s="2" t="s">
        <x:v>17</x:v>
      </x:c>
      <x:c r="G198" s="3">
        <x:v>15</x:v>
      </x:c>
      <x:c r="H198" s="2" t="s">
        <x:v>18</x:v>
      </x:c>
      <x:c r="I198" s="7">
        <x:v>351</x:v>
      </x:c>
      <x:c r="J198" s="2"/>
      <x:c r="K198" s="5" t="e">
        <x:f>Tabela1[[#This Row],[Estoque total]]-Tabela1[[#This Row],[Consumo]]</x:f>
        <x:v>#VALUE!</x:v>
      </x:c>
      <x:c r="L198" s="9" t="e">
        <x:f>(Tabela1[[#This Row],[Valor total]]/Tabela1[[#This Row],[Estoque total]])*Tabela1[[#This Row],[Consumo]]</x:f>
        <x:v>#VALUE!</x:v>
      </x:c>
    </x:row>
    <x:row r="199">
      <x:c r="A199" s="2" t="s">
        <x:v>406</x:v>
      </x:c>
      <x:c r="B199" s="2" t="s">
        <x:v>407</x:v>
      </x:c>
      <x:c r="C199" s="2" t="s">
        <x:v>14</x:v>
      </x:c>
      <x:c r="D199" s="2" t="s">
        <x:v>15</x:v>
      </x:c>
      <x:c r="E199" s="2" t="s">
        <x:v>16</x:v>
      </x:c>
      <x:c r="F199" s="2" t="s">
        <x:v>17</x:v>
      </x:c>
      <x:c r="G199" s="3">
        <x:v>36</x:v>
      </x:c>
      <x:c r="H199" s="2" t="s">
        <x:v>18</x:v>
      </x:c>
      <x:c r="I199" s="7">
        <x:v>1216.8</x:v>
      </x:c>
      <x:c r="J199" s="2"/>
      <x:c r="K199" s="5" t="e">
        <x:f>Tabela1[[#This Row],[Estoque total]]-Tabela1[[#This Row],[Consumo]]</x:f>
        <x:v>#VALUE!</x:v>
      </x:c>
      <x:c r="L199" s="9" t="e">
        <x:f>(Tabela1[[#This Row],[Valor total]]/Tabela1[[#This Row],[Estoque total]])*Tabela1[[#This Row],[Consumo]]</x:f>
        <x:v>#VALUE!</x:v>
      </x:c>
    </x:row>
    <x:row r="200">
      <x:c r="A200" s="2" t="s">
        <x:v>408</x:v>
      </x:c>
      <x:c r="B200" s="2" t="s">
        <x:v>409</x:v>
      </x:c>
      <x:c r="C200" s="2" t="s">
        <x:v>14</x:v>
      </x:c>
      <x:c r="D200" s="2" t="s">
        <x:v>15</x:v>
      </x:c>
      <x:c r="E200" s="2" t="s">
        <x:v>16</x:v>
      </x:c>
      <x:c r="F200" s="2" t="s">
        <x:v>31</x:v>
      </x:c>
      <x:c r="G200" s="3">
        <x:v>4</x:v>
      </x:c>
      <x:c r="H200" s="2" t="s">
        <x:v>18</x:v>
      </x:c>
      <x:c r="I200" s="7">
        <x:v>271.56</x:v>
      </x:c>
      <x:c r="J200" s="2"/>
      <x:c r="K200" s="5" t="e">
        <x:f>Tabela1[[#This Row],[Estoque total]]-Tabela1[[#This Row],[Consumo]]</x:f>
        <x:v>#VALUE!</x:v>
      </x:c>
      <x:c r="L200" s="9" t="e">
        <x:f>(Tabela1[[#This Row],[Valor total]]/Tabela1[[#This Row],[Estoque total]])*Tabela1[[#This Row],[Consumo]]</x:f>
        <x:v>#VALUE!</x:v>
      </x:c>
    </x:row>
    <x:row r="201">
      <x:c r="A201" s="2" t="s">
        <x:v>408</x:v>
      </x:c>
      <x:c r="B201" s="2" t="s">
        <x:v>409</x:v>
      </x:c>
      <x:c r="C201" s="2" t="s">
        <x:v>14</x:v>
      </x:c>
      <x:c r="D201" s="2" t="s">
        <x:v>15</x:v>
      </x:c>
      <x:c r="E201" s="2" t="s">
        <x:v>16</x:v>
      </x:c>
      <x:c r="F201" s="2" t="s">
        <x:v>17</x:v>
      </x:c>
      <x:c r="G201" s="3">
        <x:v>41</x:v>
      </x:c>
      <x:c r="H201" s="2" t="s">
        <x:v>18</x:v>
      </x:c>
      <x:c r="I201" s="7">
        <x:v>4236.5200000000004</x:v>
      </x:c>
      <x:c r="J201" s="2"/>
      <x:c r="K201" s="5" t="e">
        <x:f>Tabela1[[#This Row],[Estoque total]]-Tabela1[[#This Row],[Consumo]]</x:f>
        <x:v>#VALUE!</x:v>
      </x:c>
      <x:c r="L201" s="9" t="e">
        <x:f>(Tabela1[[#This Row],[Valor total]]/Tabela1[[#This Row],[Estoque total]])*Tabela1[[#This Row],[Consumo]]</x:f>
        <x:v>#VALUE!</x:v>
      </x:c>
    </x:row>
    <x:row r="202">
      <x:c r="A202" s="2" t="s">
        <x:v>410</x:v>
      </x:c>
      <x:c r="B202" s="2" t="s">
        <x:v>411</x:v>
      </x:c>
      <x:c r="C202" s="2" t="s">
        <x:v>14</x:v>
      </x:c>
      <x:c r="D202" s="2" t="s">
        <x:v>15</x:v>
      </x:c>
      <x:c r="E202" s="2" t="s">
        <x:v>16</x:v>
      </x:c>
      <x:c r="F202" s="2" t="s">
        <x:v>31</x:v>
      </x:c>
      <x:c r="G202" s="3">
        <x:v>4</x:v>
      </x:c>
      <x:c r="H202" s="2" t="s">
        <x:v>18</x:v>
      </x:c>
      <x:c r="I202" s="7">
        <x:v>289.68</x:v>
      </x:c>
      <x:c r="J202" s="2"/>
      <x:c r="K202" s="5" t="e">
        <x:f>Tabela1[[#This Row],[Estoque total]]-Tabela1[[#This Row],[Consumo]]</x:f>
        <x:v>#VALUE!</x:v>
      </x:c>
      <x:c r="L202" s="9" t="e">
        <x:f>(Tabela1[[#This Row],[Valor total]]/Tabela1[[#This Row],[Estoque total]])*Tabela1[[#This Row],[Consumo]]</x:f>
        <x:v>#VALUE!</x:v>
      </x:c>
    </x:row>
    <x:row r="203">
      <x:c r="A203" s="2" t="s">
        <x:v>410</x:v>
      </x:c>
      <x:c r="B203" s="2" t="s">
        <x:v>411</x:v>
      </x:c>
      <x:c r="C203" s="2" t="s">
        <x:v>14</x:v>
      </x:c>
      <x:c r="D203" s="2" t="s">
        <x:v>15</x:v>
      </x:c>
      <x:c r="E203" s="2" t="s">
        <x:v>16</x:v>
      </x:c>
      <x:c r="F203" s="2" t="s">
        <x:v>17</x:v>
      </x:c>
      <x:c r="G203" s="3">
        <x:v>61</x:v>
      </x:c>
      <x:c r="H203" s="2" t="s">
        <x:v>18</x:v>
      </x:c>
      <x:c r="I203" s="7">
        <x:v>6710</x:v>
      </x:c>
      <x:c r="J203" s="2" t="n">
        <x:v>5</x:v>
      </x:c>
      <x:c r="K203" s="5" t="n">
        <x:f>Tabela1[[#This Row],[Estoque total]]-Tabela1[[#This Row],[Consumo]]</x:f>
        <x:v>56</x:v>
      </x:c>
      <x:c r="L203" s="9" t="n">
        <x:f>(Tabela1[[#This Row],[Valor total]]/Tabela1[[#This Row],[Estoque total]])*Tabela1[[#This Row],[Consumo]]</x:f>
        <x:v>550</x:v>
      </x:c>
    </x:row>
    <x:row r="204">
      <x:c r="A204" s="2" t="s">
        <x:v>412</x:v>
      </x:c>
      <x:c r="B204" s="2" t="s">
        <x:v>413</x:v>
      </x:c>
      <x:c r="C204" s="2" t="s">
        <x:v>14</x:v>
      </x:c>
      <x:c r="D204" s="2" t="s">
        <x:v>15</x:v>
      </x:c>
      <x:c r="E204" s="2" t="s">
        <x:v>16</x:v>
      </x:c>
      <x:c r="F204" s="2" t="s">
        <x:v>17</x:v>
      </x:c>
      <x:c r="G204" s="3">
        <x:v>253</x:v>
      </x:c>
      <x:c r="H204" s="2" t="s">
        <x:v>18</x:v>
      </x:c>
      <x:c r="I204" s="7">
        <x:v>9129.4</x:v>
      </x:c>
      <x:c r="J204" s="2" t="n">
        <x:v>125</x:v>
      </x:c>
      <x:c r="K204" s="5" t="n">
        <x:f>Tabela1[[#This Row],[Estoque total]]-Tabela1[[#This Row],[Consumo]]</x:f>
        <x:v>128</x:v>
      </x:c>
      <x:c r="L204" s="9" t="n">
        <x:f>(Tabela1[[#This Row],[Valor total]]/Tabela1[[#This Row],[Estoque total]])*Tabela1[[#This Row],[Consumo]]</x:f>
        <x:v>4510.573122529644</x:v>
      </x:c>
    </x:row>
    <x:row r="205">
      <x:c r="A205" s="2" t="s">
        <x:v>414</x:v>
      </x:c>
      <x:c r="B205" s="2" t="s">
        <x:v>415</x:v>
      </x:c>
      <x:c r="C205" s="2" t="s">
        <x:v>14</x:v>
      </x:c>
      <x:c r="D205" s="2" t="s">
        <x:v>15</x:v>
      </x:c>
      <x:c r="E205" s="2" t="s">
        <x:v>16</x:v>
      </x:c>
      <x:c r="F205" s="2" t="s">
        <x:v>17</x:v>
      </x:c>
      <x:c r="G205" s="3">
        <x:v>230</x:v>
      </x:c>
      <x:c r="H205" s="2" t="s">
        <x:v>18</x:v>
      </x:c>
      <x:c r="I205" s="7">
        <x:v>9545</x:v>
      </x:c>
      <x:c r="J205" s="2" t="n">
        <x:v>105</x:v>
      </x:c>
      <x:c r="K205" s="5" t="n">
        <x:f>Tabela1[[#This Row],[Estoque total]]-Tabela1[[#This Row],[Consumo]]</x:f>
        <x:v>125</x:v>
      </x:c>
      <x:c r="L205" s="9" t="n">
        <x:f>(Tabela1[[#This Row],[Valor total]]/Tabela1[[#This Row],[Estoque total]])*Tabela1[[#This Row],[Consumo]]</x:f>
        <x:v>4357.5</x:v>
      </x:c>
    </x:row>
    <x:row r="206">
      <x:c r="A206" s="2" t="s">
        <x:v>416</x:v>
      </x:c>
      <x:c r="B206" s="2" t="s">
        <x:v>417</x:v>
      </x:c>
      <x:c r="C206" s="2" t="s">
        <x:v>14</x:v>
      </x:c>
      <x:c r="D206" s="2" t="s">
        <x:v>15</x:v>
      </x:c>
      <x:c r="E206" s="2" t="s">
        <x:v>16</x:v>
      </x:c>
      <x:c r="F206" s="2" t="s">
        <x:v>17</x:v>
      </x:c>
      <x:c r="G206" s="3">
        <x:v>8</x:v>
      </x:c>
      <x:c r="H206" s="2" t="s">
        <x:v>18</x:v>
      </x:c>
      <x:c r="I206" s="7">
        <x:v>422.84</x:v>
      </x:c>
      <x:c r="J206" s="2"/>
      <x:c r="K206" s="5" t="e">
        <x:f>Tabela1[[#This Row],[Estoque total]]-Tabela1[[#This Row],[Consumo]]</x:f>
        <x:v>#VALUE!</x:v>
      </x:c>
      <x:c r="L206" s="9" t="e">
        <x:f>(Tabela1[[#This Row],[Valor total]]/Tabela1[[#This Row],[Estoque total]])*Tabela1[[#This Row],[Consumo]]</x:f>
        <x:v>#VALUE!</x:v>
      </x:c>
    </x:row>
    <x:row r="207">
      <x:c r="A207" s="2" t="s">
        <x:v>418</x:v>
      </x:c>
      <x:c r="B207" s="2" t="s">
        <x:v>419</x:v>
      </x:c>
      <x:c r="C207" s="2" t="s">
        <x:v>14</x:v>
      </x:c>
      <x:c r="D207" s="2" t="s">
        <x:v>15</x:v>
      </x:c>
      <x:c r="E207" s="2" t="s">
        <x:v>16</x:v>
      </x:c>
      <x:c r="F207" s="2" t="s">
        <x:v>17</x:v>
      </x:c>
      <x:c r="G207" s="3">
        <x:v>278</x:v>
      </x:c>
      <x:c r="H207" s="2" t="s">
        <x:v>18</x:v>
      </x:c>
      <x:c r="I207" s="7">
        <x:v>2038.71</x:v>
      </x:c>
      <x:c r="J207" s="2" t="n">
        <x:v>105</x:v>
      </x:c>
      <x:c r="K207" s="5" t="n">
        <x:f>Tabela1[[#This Row],[Estoque total]]-Tabela1[[#This Row],[Consumo]]</x:f>
        <x:v>173</x:v>
      </x:c>
      <x:c r="L207" s="9" t="n">
        <x:f>(Tabela1[[#This Row],[Valor total]]/Tabela1[[#This Row],[Estoque total]])*Tabela1[[#This Row],[Consumo]]</x:f>
        <x:v>770.0163669064749</x:v>
      </x:c>
    </x:row>
    <x:row r="208">
      <x:c r="A208" s="2" t="s">
        <x:v>420</x:v>
      </x:c>
      <x:c r="B208" s="2" t="s">
        <x:v>421</x:v>
      </x:c>
      <x:c r="C208" s="2" t="s">
        <x:v>14</x:v>
      </x:c>
      <x:c r="D208" s="2" t="s">
        <x:v>15</x:v>
      </x:c>
      <x:c r="E208" s="2" t="s">
        <x:v>16</x:v>
      </x:c>
      <x:c r="F208" s="2" t="s">
        <x:v>17</x:v>
      </x:c>
      <x:c r="G208" s="3">
        <x:v>349</x:v>
      </x:c>
      <x:c r="H208" s="2" t="s">
        <x:v>18</x:v>
      </x:c>
      <x:c r="I208" s="7">
        <x:v>17927.14</x:v>
      </x:c>
      <x:c r="J208" s="2"/>
      <x:c r="K208" s="5" t="e">
        <x:f>Tabela1[[#This Row],[Estoque total]]-Tabela1[[#This Row],[Consumo]]</x:f>
        <x:v>#VALUE!</x:v>
      </x:c>
      <x:c r="L208" s="9" t="e">
        <x:f>(Tabela1[[#This Row],[Valor total]]/Tabela1[[#This Row],[Estoque total]])*Tabela1[[#This Row],[Consumo]]</x:f>
        <x:v>#VALUE!</x:v>
      </x:c>
    </x:row>
    <x:row r="209">
      <x:c r="A209" s="2" t="s">
        <x:v>422</x:v>
      </x:c>
      <x:c r="B209" s="2" t="s">
        <x:v>423</x:v>
      </x:c>
      <x:c r="C209" s="2" t="s">
        <x:v>14</x:v>
      </x:c>
      <x:c r="D209" s="2" t="s">
        <x:v>15</x:v>
      </x:c>
      <x:c r="E209" s="2" t="s">
        <x:v>16</x:v>
      </x:c>
      <x:c r="F209" s="2" t="s">
        <x:v>17</x:v>
      </x:c>
      <x:c r="G209" s="3">
        <x:v>266</x:v>
      </x:c>
      <x:c r="H209" s="2" t="s">
        <x:v>18</x:v>
      </x:c>
      <x:c r="I209" s="7">
        <x:v>13220.2</x:v>
      </x:c>
      <x:c r="J209" s="2" t="n">
        <x:v>21</x:v>
      </x:c>
      <x:c r="K209" s="5" t="n">
        <x:f>Tabela1[[#This Row],[Estoque total]]-Tabela1[[#This Row],[Consumo]]</x:f>
        <x:v>245</x:v>
      </x:c>
      <x:c r="L209" s="9" t="n">
        <x:f>(Tabela1[[#This Row],[Valor total]]/Tabela1[[#This Row],[Estoque total]])*Tabela1[[#This Row],[Consumo]]</x:f>
        <x:v>1043.7</x:v>
      </x:c>
    </x:row>
    <x:row r="210">
      <x:c r="A210" s="2" t="s">
        <x:v>424</x:v>
      </x:c>
      <x:c r="B210" s="2" t="s">
        <x:v>425</x:v>
      </x:c>
      <x:c r="C210" s="2" t="s">
        <x:v>14</x:v>
      </x:c>
      <x:c r="D210" s="2" t="s">
        <x:v>15</x:v>
      </x:c>
      <x:c r="E210" s="2" t="s">
        <x:v>16</x:v>
      </x:c>
      <x:c r="F210" s="2" t="s">
        <x:v>17</x:v>
      </x:c>
      <x:c r="G210" s="3">
        <x:v>7</x:v>
      </x:c>
      <x:c r="H210" s="2" t="s">
        <x:v>18</x:v>
      </x:c>
      <x:c r="I210" s="7">
        <x:v>290.60000000000002</x:v>
      </x:c>
      <x:c r="J210" s="2"/>
      <x:c r="K210" s="5" t="e">
        <x:f>Tabela1[[#This Row],[Estoque total]]-Tabela1[[#This Row],[Consumo]]</x:f>
        <x:v>#VALUE!</x:v>
      </x:c>
      <x:c r="L210" s="9" t="e">
        <x:f>(Tabela1[[#This Row],[Valor total]]/Tabela1[[#This Row],[Estoque total]])*Tabela1[[#This Row],[Consumo]]</x:f>
        <x:v>#VALUE!</x:v>
      </x:c>
    </x:row>
    <x:row r="211">
      <x:c r="A211" s="2" t="s">
        <x:v>426</x:v>
      </x:c>
      <x:c r="B211" s="2" t="s">
        <x:v>427</x:v>
      </x:c>
      <x:c r="C211" s="2" t="s">
        <x:v>14</x:v>
      </x:c>
      <x:c r="D211" s="2" t="s">
        <x:v>15</x:v>
      </x:c>
      <x:c r="E211" s="2" t="s">
        <x:v>16</x:v>
      </x:c>
      <x:c r="F211" s="2" t="s">
        <x:v>17</x:v>
      </x:c>
      <x:c r="G211" s="3">
        <x:v>4</x:v>
      </x:c>
      <x:c r="H211" s="2" t="s">
        <x:v>18</x:v>
      </x:c>
      <x:c r="I211" s="7">
        <x:v>158</x:v>
      </x:c>
      <x:c r="J211" s="2"/>
      <x:c r="K211" s="5" t="e">
        <x:f>Tabela1[[#This Row],[Estoque total]]-Tabela1[[#This Row],[Consumo]]</x:f>
        <x:v>#VALUE!</x:v>
      </x:c>
      <x:c r="L211" s="9" t="e">
        <x:f>(Tabela1[[#This Row],[Valor total]]/Tabela1[[#This Row],[Estoque total]])*Tabela1[[#This Row],[Consumo]]</x:f>
        <x:v>#VALUE!</x:v>
      </x:c>
    </x:row>
    <x:row r="212">
      <x:c r="A212" s="2" t="s">
        <x:v>428</x:v>
      </x:c>
      <x:c r="B212" s="2" t="s">
        <x:v>429</x:v>
      </x:c>
      <x:c r="C212" s="2" t="s">
        <x:v>14</x:v>
      </x:c>
      <x:c r="D212" s="2" t="s">
        <x:v>15</x:v>
      </x:c>
      <x:c r="E212" s="2" t="s">
        <x:v>16</x:v>
      </x:c>
      <x:c r="F212" s="2" t="s">
        <x:v>17</x:v>
      </x:c>
      <x:c r="G212" s="3">
        <x:v>114</x:v>
      </x:c>
      <x:c r="H212" s="2" t="s">
        <x:v>18</x:v>
      </x:c>
      <x:c r="I212" s="7">
        <x:v>4902</x:v>
      </x:c>
      <x:c r="J212" s="2"/>
      <x:c r="K212" s="5" t="e">
        <x:f>Tabela1[[#This Row],[Estoque total]]-Tabela1[[#This Row],[Consumo]]</x:f>
        <x:v>#VALUE!</x:v>
      </x:c>
      <x:c r="L212" s="9" t="e">
        <x:f>(Tabela1[[#This Row],[Valor total]]/Tabela1[[#This Row],[Estoque total]])*Tabela1[[#This Row],[Consumo]]</x:f>
        <x:v>#VALUE!</x:v>
      </x:c>
    </x:row>
    <x:row r="213">
      <x:c r="A213" s="2" t="s">
        <x:v>430</x:v>
      </x:c>
      <x:c r="B213" s="2" t="s">
        <x:v>431</x:v>
      </x:c>
      <x:c r="C213" s="2" t="s">
        <x:v>14</x:v>
      </x:c>
      <x:c r="D213" s="2" t="s">
        <x:v>15</x:v>
      </x:c>
      <x:c r="E213" s="2" t="s">
        <x:v>16</x:v>
      </x:c>
      <x:c r="F213" s="2" t="s">
        <x:v>17</x:v>
      </x:c>
      <x:c r="G213" s="3">
        <x:v>140</x:v>
      </x:c>
      <x:c r="H213" s="2" t="s">
        <x:v>18</x:v>
      </x:c>
      <x:c r="I213" s="7">
        <x:v>6435.39</x:v>
      </x:c>
      <x:c r="J213" s="2" t="n">
        <x:v>6</x:v>
      </x:c>
      <x:c r="K213" s="5" t="n">
        <x:f>Tabela1[[#This Row],[Estoque total]]-Tabela1[[#This Row],[Consumo]]</x:f>
        <x:v>134</x:v>
      </x:c>
      <x:c r="L213" s="9" t="n">
        <x:f>(Tabela1[[#This Row],[Valor total]]/Tabela1[[#This Row],[Estoque total]])*Tabela1[[#This Row],[Consumo]]</x:f>
        <x:v>275.80242857142855</x:v>
      </x:c>
    </x:row>
    <x:row r="214">
      <x:c r="A214" s="2" t="s">
        <x:v>432</x:v>
      </x:c>
      <x:c r="B214" s="2" t="s">
        <x:v>433</x:v>
      </x:c>
      <x:c r="C214" s="2" t="s">
        <x:v>14</x:v>
      </x:c>
      <x:c r="D214" s="2" t="s">
        <x:v>15</x:v>
      </x:c>
      <x:c r="E214" s="2" t="s">
        <x:v>16</x:v>
      </x:c>
      <x:c r="F214" s="2" t="s">
        <x:v>17</x:v>
      </x:c>
      <x:c r="G214" s="3">
        <x:v>15</x:v>
      </x:c>
      <x:c r="H214" s="2" t="s">
        <x:v>18</x:v>
      </x:c>
      <x:c r="I214" s="7">
        <x:v>781.5</x:v>
      </x:c>
      <x:c r="J214" s="2"/>
      <x:c r="K214" s="5" t="e">
        <x:f>Tabela1[[#This Row],[Estoque total]]-Tabela1[[#This Row],[Consumo]]</x:f>
        <x:v>#VALUE!</x:v>
      </x:c>
      <x:c r="L214" s="9" t="e">
        <x:f>(Tabela1[[#This Row],[Valor total]]/Tabela1[[#This Row],[Estoque total]])*Tabela1[[#This Row],[Consumo]]</x:f>
        <x:v>#VALUE!</x:v>
      </x:c>
    </x:row>
    <x:row r="215">
      <x:c r="A215" s="2" t="s">
        <x:v>434</x:v>
      </x:c>
      <x:c r="B215" s="2" t="s">
        <x:v>435</x:v>
      </x:c>
      <x:c r="C215" s="2" t="s">
        <x:v>14</x:v>
      </x:c>
      <x:c r="D215" s="2" t="s">
        <x:v>15</x:v>
      </x:c>
      <x:c r="E215" s="2" t="s">
        <x:v>16</x:v>
      </x:c>
      <x:c r="F215" s="2" t="s">
        <x:v>17</x:v>
      </x:c>
      <x:c r="G215" s="3">
        <x:v>20</x:v>
      </x:c>
      <x:c r="H215" s="2" t="s">
        <x:v>18</x:v>
      </x:c>
      <x:c r="I215" s="7">
        <x:v>1596</x:v>
      </x:c>
      <x:c r="J215" s="2"/>
      <x:c r="K215" s="5" t="e">
        <x:f>Tabela1[[#This Row],[Estoque total]]-Tabela1[[#This Row],[Consumo]]</x:f>
        <x:v>#VALUE!</x:v>
      </x:c>
      <x:c r="L215" s="9" t="e">
        <x:f>(Tabela1[[#This Row],[Valor total]]/Tabela1[[#This Row],[Estoque total]])*Tabela1[[#This Row],[Consumo]]</x:f>
        <x:v>#VALUE!</x:v>
      </x:c>
    </x:row>
    <x:row r="216">
      <x:c r="A216" s="2" t="s">
        <x:v>436</x:v>
      </x:c>
      <x:c r="B216" s="2" t="s">
        <x:v>437</x:v>
      </x:c>
      <x:c r="C216" s="2" t="s">
        <x:v>14</x:v>
      </x:c>
      <x:c r="D216" s="2" t="s">
        <x:v>15</x:v>
      </x:c>
      <x:c r="E216" s="2" t="s">
        <x:v>16</x:v>
      </x:c>
      <x:c r="F216" s="2" t="s">
        <x:v>17</x:v>
      </x:c>
      <x:c r="G216" s="3">
        <x:v>15</x:v>
      </x:c>
      <x:c r="H216" s="2" t="s">
        <x:v>18</x:v>
      </x:c>
      <x:c r="I216" s="7">
        <x:v>706.5</x:v>
      </x:c>
      <x:c r="J216" s="2"/>
      <x:c r="K216" s="5" t="e">
        <x:f>Tabela1[[#This Row],[Estoque total]]-Tabela1[[#This Row],[Consumo]]</x:f>
        <x:v>#VALUE!</x:v>
      </x:c>
      <x:c r="L216" s="9" t="e">
        <x:f>(Tabela1[[#This Row],[Valor total]]/Tabela1[[#This Row],[Estoque total]])*Tabela1[[#This Row],[Consumo]]</x:f>
        <x:v>#VALUE!</x:v>
      </x:c>
    </x:row>
    <x:row r="217">
      <x:c r="A217" s="2" t="s">
        <x:v>438</x:v>
      </x:c>
      <x:c r="B217" s="2" t="s">
        <x:v>439</x:v>
      </x:c>
      <x:c r="C217" s="2" t="s">
        <x:v>14</x:v>
      </x:c>
      <x:c r="D217" s="2" t="s">
        <x:v>15</x:v>
      </x:c>
      <x:c r="E217" s="2" t="s">
        <x:v>16</x:v>
      </x:c>
      <x:c r="F217" s="2" t="s">
        <x:v>17</x:v>
      </x:c>
      <x:c r="G217" s="3">
        <x:v>51</x:v>
      </x:c>
      <x:c r="H217" s="2" t="s">
        <x:v>18</x:v>
      </x:c>
      <x:c r="I217" s="7">
        <x:v>2376.6</x:v>
      </x:c>
      <x:c r="J217" s="2"/>
      <x:c r="K217" s="5" t="e">
        <x:f>Tabela1[[#This Row],[Estoque total]]-Tabela1[[#This Row],[Consumo]]</x:f>
        <x:v>#VALUE!</x:v>
      </x:c>
      <x:c r="L217" s="9" t="e">
        <x:f>(Tabela1[[#This Row],[Valor total]]/Tabela1[[#This Row],[Estoque total]])*Tabela1[[#This Row],[Consumo]]</x:f>
        <x:v>#VALUE!</x:v>
      </x:c>
    </x:row>
    <x:row r="218">
      <x:c r="A218" s="2" t="s">
        <x:v>440</x:v>
      </x:c>
      <x:c r="B218" s="2" t="s">
        <x:v>441</x:v>
      </x:c>
      <x:c r="C218" s="2" t="s">
        <x:v>14</x:v>
      </x:c>
      <x:c r="D218" s="2" t="s">
        <x:v>15</x:v>
      </x:c>
      <x:c r="E218" s="2" t="s">
        <x:v>16</x:v>
      </x:c>
      <x:c r="F218" s="2" t="s">
        <x:v>17</x:v>
      </x:c>
      <x:c r="G218" s="3">
        <x:v>51</x:v>
      </x:c>
      <x:c r="H218" s="2" t="s">
        <x:v>18</x:v>
      </x:c>
      <x:c r="I218" s="7">
        <x:v>2376.6</x:v>
      </x:c>
      <x:c r="J218" s="2"/>
      <x:c r="K218" s="5" t="e">
        <x:f>Tabela1[[#This Row],[Estoque total]]-Tabela1[[#This Row],[Consumo]]</x:f>
        <x:v>#VALUE!</x:v>
      </x:c>
      <x:c r="L218" s="9" t="e">
        <x:f>(Tabela1[[#This Row],[Valor total]]/Tabela1[[#This Row],[Estoque total]])*Tabela1[[#This Row],[Consumo]]</x:f>
        <x:v>#VALUE!</x:v>
      </x:c>
    </x:row>
    <x:row r="219">
      <x:c r="A219" s="2" t="s">
        <x:v>442</x:v>
      </x:c>
      <x:c r="B219" s="2" t="s">
        <x:v>443</x:v>
      </x:c>
      <x:c r="C219" s="2" t="s">
        <x:v>14</x:v>
      </x:c>
      <x:c r="D219" s="2" t="s">
        <x:v>15</x:v>
      </x:c>
      <x:c r="E219" s="2" t="s">
        <x:v>16</x:v>
      </x:c>
      <x:c r="F219" s="2" t="s">
        <x:v>17</x:v>
      </x:c>
      <x:c r="G219" s="3">
        <x:v>18</x:v>
      </x:c>
      <x:c r="H219" s="2" t="s">
        <x:v>18</x:v>
      </x:c>
      <x:c r="I219" s="7">
        <x:v>838.8</x:v>
      </x:c>
      <x:c r="J219" s="2"/>
      <x:c r="K219" s="5" t="e">
        <x:f>Tabela1[[#This Row],[Estoque total]]-Tabela1[[#This Row],[Consumo]]</x:f>
        <x:v>#VALUE!</x:v>
      </x:c>
      <x:c r="L219" s="9" t="e">
        <x:f>(Tabela1[[#This Row],[Valor total]]/Tabela1[[#This Row],[Estoque total]])*Tabela1[[#This Row],[Consumo]]</x:f>
        <x:v>#VALUE!</x:v>
      </x:c>
    </x:row>
    <x:row r="220">
      <x:c r="A220" s="2" t="s">
        <x:v>444</x:v>
      </x:c>
      <x:c r="B220" s="2" t="s">
        <x:v>445</x:v>
      </x:c>
      <x:c r="C220" s="2" t="s">
        <x:v>14</x:v>
      </x:c>
      <x:c r="D220" s="2" t="s">
        <x:v>15</x:v>
      </x:c>
      <x:c r="E220" s="2" t="s">
        <x:v>16</x:v>
      </x:c>
      <x:c r="F220" s="2" t="s">
        <x:v>17</x:v>
      </x:c>
      <x:c r="G220" s="3">
        <x:v>15</x:v>
      </x:c>
      <x:c r="H220" s="2" t="s">
        <x:v>18</x:v>
      </x:c>
      <x:c r="I220" s="7">
        <x:v>730.5</x:v>
      </x:c>
      <x:c r="J220" s="2"/>
      <x:c r="K220" s="5" t="e">
        <x:f>Tabela1[[#This Row],[Estoque total]]-Tabela1[[#This Row],[Consumo]]</x:f>
        <x:v>#VALUE!</x:v>
      </x:c>
      <x:c r="L220" s="9" t="e">
        <x:f>(Tabela1[[#This Row],[Valor total]]/Tabela1[[#This Row],[Estoque total]])*Tabela1[[#This Row],[Consumo]]</x:f>
        <x:v>#VALUE!</x:v>
      </x:c>
    </x:row>
    <x:row r="221">
      <x:c r="A221" s="2" t="s">
        <x:v>446</x:v>
      </x:c>
      <x:c r="B221" s="2" t="s">
        <x:v>447</x:v>
      </x:c>
      <x:c r="C221" s="2" t="s">
        <x:v>14</x:v>
      </x:c>
      <x:c r="D221" s="2" t="s">
        <x:v>15</x:v>
      </x:c>
      <x:c r="E221" s="2" t="s">
        <x:v>16</x:v>
      </x:c>
      <x:c r="F221" s="2" t="s">
        <x:v>17</x:v>
      </x:c>
      <x:c r="G221" s="3">
        <x:v>223</x:v>
      </x:c>
      <x:c r="H221" s="2" t="s">
        <x:v>18</x:v>
      </x:c>
      <x:c r="I221" s="7">
        <x:v>12335.97</x:v>
      </x:c>
      <x:c r="J221" s="2"/>
      <x:c r="K221" s="5" t="e">
        <x:f>Tabela1[[#This Row],[Estoque total]]-Tabela1[[#This Row],[Consumo]]</x:f>
        <x:v>#VALUE!</x:v>
      </x:c>
      <x:c r="L221" s="9" t="e">
        <x:f>(Tabela1[[#This Row],[Valor total]]/Tabela1[[#This Row],[Estoque total]])*Tabela1[[#This Row],[Consumo]]</x:f>
        <x:v>#VALUE!</x:v>
      </x:c>
    </x:row>
    <x:row r="222">
      <x:c r="A222" s="2" t="s">
        <x:v>448</x:v>
      </x:c>
      <x:c r="B222" s="2" t="s">
        <x:v>449</x:v>
      </x:c>
      <x:c r="C222" s="2" t="s">
        <x:v>14</x:v>
      </x:c>
      <x:c r="D222" s="2" t="s">
        <x:v>15</x:v>
      </x:c>
      <x:c r="E222" s="2" t="s">
        <x:v>16</x:v>
      </x:c>
      <x:c r="F222" s="2" t="s">
        <x:v>17</x:v>
      </x:c>
      <x:c r="G222" s="3">
        <x:v>58</x:v>
      </x:c>
      <x:c r="H222" s="2" t="s">
        <x:v>18</x:v>
      </x:c>
      <x:c r="I222" s="7">
        <x:v>3126.18</x:v>
      </x:c>
      <x:c r="J222" s="2"/>
      <x:c r="K222" s="5" t="e">
        <x:f>Tabela1[[#This Row],[Estoque total]]-Tabela1[[#This Row],[Consumo]]</x:f>
        <x:v>#VALUE!</x:v>
      </x:c>
      <x:c r="L222" s="9" t="e">
        <x:f>(Tabela1[[#This Row],[Valor total]]/Tabela1[[#This Row],[Estoque total]])*Tabela1[[#This Row],[Consumo]]</x:f>
        <x:v>#VALUE!</x:v>
      </x:c>
    </x:row>
    <x:row r="223">
      <x:c r="A223" s="2" t="s">
        <x:v>450</x:v>
      </x:c>
      <x:c r="B223" s="2" t="s">
        <x:v>451</x:v>
      </x:c>
      <x:c r="C223" s="2" t="s">
        <x:v>14</x:v>
      </x:c>
      <x:c r="D223" s="2" t="s">
        <x:v>15</x:v>
      </x:c>
      <x:c r="E223" s="2" t="s">
        <x:v>16</x:v>
      </x:c>
      <x:c r="F223" s="2" t="s">
        <x:v>17</x:v>
      </x:c>
      <x:c r="G223" s="3">
        <x:v>44</x:v>
      </x:c>
      <x:c r="H223" s="2" t="s">
        <x:v>18</x:v>
      </x:c>
      <x:c r="I223" s="7">
        <x:v>2327.6</x:v>
      </x:c>
      <x:c r="J223" s="2"/>
      <x:c r="K223" s="5" t="e">
        <x:f>Tabela1[[#This Row],[Estoque total]]-Tabela1[[#This Row],[Consumo]]</x:f>
        <x:v>#VALUE!</x:v>
      </x:c>
      <x:c r="L223" s="9" t="e">
        <x:f>(Tabela1[[#This Row],[Valor total]]/Tabela1[[#This Row],[Estoque total]])*Tabela1[[#This Row],[Consumo]]</x:f>
        <x:v>#VALUE!</x:v>
      </x:c>
    </x:row>
    <x:row r="224">
      <x:c r="A224" s="2" t="s">
        <x:v>452</x:v>
      </x:c>
      <x:c r="B224" s="2" t="s">
        <x:v>453</x:v>
      </x:c>
      <x:c r="C224" s="2" t="s">
        <x:v>14</x:v>
      </x:c>
      <x:c r="D224" s="2" t="s">
        <x:v>15</x:v>
      </x:c>
      <x:c r="E224" s="2" t="s">
        <x:v>16</x:v>
      </x:c>
      <x:c r="F224" s="2" t="s">
        <x:v>17</x:v>
      </x:c>
      <x:c r="G224" s="3">
        <x:v>409</x:v>
      </x:c>
      <x:c r="H224" s="2" t="s">
        <x:v>18</x:v>
      </x:c>
      <x:c r="I224" s="7">
        <x:v>10417.57</x:v>
      </x:c>
      <x:c r="J224" s="2"/>
      <x:c r="K224" s="5" t="e">
        <x:f>Tabela1[[#This Row],[Estoque total]]-Tabela1[[#This Row],[Consumo]]</x:f>
        <x:v>#VALUE!</x:v>
      </x:c>
      <x:c r="L224" s="9" t="e">
        <x:f>(Tabela1[[#This Row],[Valor total]]/Tabela1[[#This Row],[Estoque total]])*Tabela1[[#This Row],[Consumo]]</x:f>
        <x:v>#VALUE!</x:v>
      </x:c>
    </x:row>
    <x:row r="225">
      <x:c r="A225" s="2" t="s">
        <x:v>454</x:v>
      </x:c>
      <x:c r="B225" s="2" t="s">
        <x:v>455</x:v>
      </x:c>
      <x:c r="C225" s="2" t="s">
        <x:v>14</x:v>
      </x:c>
      <x:c r="D225" s="2" t="s">
        <x:v>15</x:v>
      </x:c>
      <x:c r="E225" s="2" t="s">
        <x:v>16</x:v>
      </x:c>
      <x:c r="F225" s="2" t="s">
        <x:v>17</x:v>
      </x:c>
      <x:c r="G225" s="3">
        <x:v>30</x:v>
      </x:c>
      <x:c r="H225" s="2" t="s">
        <x:v>18</x:v>
      </x:c>
      <x:c r="I225" s="7">
        <x:v>420</x:v>
      </x:c>
      <x:c r="J225" s="2"/>
      <x:c r="K225" s="5" t="e">
        <x:f>Tabela1[[#This Row],[Estoque total]]-Tabela1[[#This Row],[Consumo]]</x:f>
        <x:v>#VALUE!</x:v>
      </x:c>
      <x:c r="L225" s="9" t="e">
        <x:f>(Tabela1[[#This Row],[Valor total]]/Tabela1[[#This Row],[Estoque total]])*Tabela1[[#This Row],[Consumo]]</x:f>
        <x:v>#VALUE!</x:v>
      </x:c>
    </x:row>
    <x:row r="226">
      <x:c r="A226" s="2" t="s">
        <x:v>456</x:v>
      </x:c>
      <x:c r="B226" s="2" t="s">
        <x:v>457</x:v>
      </x:c>
      <x:c r="C226" s="2" t="s">
        <x:v>14</x:v>
      </x:c>
      <x:c r="D226" s="2" t="s">
        <x:v>15</x:v>
      </x:c>
      <x:c r="E226" s="2" t="s">
        <x:v>16</x:v>
      </x:c>
      <x:c r="F226" s="2" t="s">
        <x:v>17</x:v>
      </x:c>
      <x:c r="G226" s="3">
        <x:v>360</x:v>
      </x:c>
      <x:c r="H226" s="2" t="s">
        <x:v>18</x:v>
      </x:c>
      <x:c r="I226" s="7">
        <x:v>4225.7700000000004</x:v>
      </x:c>
      <x:c r="J226" s="2"/>
      <x:c r="K226" s="5" t="e">
        <x:f>Tabela1[[#This Row],[Estoque total]]-Tabela1[[#This Row],[Consumo]]</x:f>
        <x:v>#VALUE!</x:v>
      </x:c>
      <x:c r="L226" s="9" t="e">
        <x:f>(Tabela1[[#This Row],[Valor total]]/Tabela1[[#This Row],[Estoque total]])*Tabela1[[#This Row],[Consumo]]</x:f>
        <x:v>#VALUE!</x:v>
      </x:c>
    </x:row>
    <x:row r="227">
      <x:c r="A227" s="2" t="s">
        <x:v>458</x:v>
      </x:c>
      <x:c r="B227" s="2" t="s">
        <x:v>459</x:v>
      </x:c>
      <x:c r="C227" s="2" t="s">
        <x:v>14</x:v>
      </x:c>
      <x:c r="D227" s="2" t="s">
        <x:v>15</x:v>
      </x:c>
      <x:c r="E227" s="2" t="s">
        <x:v>16</x:v>
      </x:c>
      <x:c r="F227" s="2" t="s">
        <x:v>17</x:v>
      </x:c>
      <x:c r="G227" s="3">
        <x:v>55</x:v>
      </x:c>
      <x:c r="H227" s="2" t="s">
        <x:v>18</x:v>
      </x:c>
      <x:c r="I227" s="7">
        <x:v>3170.34</x:v>
      </x:c>
      <x:c r="J227" s="2" t="n">
        <x:v>4</x:v>
      </x:c>
      <x:c r="K227" s="5" t="n">
        <x:f>Tabela1[[#This Row],[Estoque total]]-Tabela1[[#This Row],[Consumo]]</x:f>
        <x:v>51</x:v>
      </x:c>
      <x:c r="L227" s="9" t="n">
        <x:f>(Tabela1[[#This Row],[Valor total]]/Tabela1[[#This Row],[Estoque total]])*Tabela1[[#This Row],[Consumo]]</x:f>
        <x:v>230.57018181818182</x:v>
      </x:c>
    </x:row>
    <x:row r="228">
      <x:c r="A228" s="2" t="s">
        <x:v>460</x:v>
      </x:c>
      <x:c r="B228" s="2" t="s">
        <x:v>461</x:v>
      </x:c>
      <x:c r="C228" s="2" t="s">
        <x:v>14</x:v>
      </x:c>
      <x:c r="D228" s="2" t="s">
        <x:v>15</x:v>
      </x:c>
      <x:c r="E228" s="2" t="s">
        <x:v>16</x:v>
      </x:c>
      <x:c r="F228" s="2" t="s">
        <x:v>17</x:v>
      </x:c>
      <x:c r="G228" s="3">
        <x:v>5</x:v>
      </x:c>
      <x:c r="H228" s="2" t="s">
        <x:v>18</x:v>
      </x:c>
      <x:c r="I228" s="7">
        <x:v>323</x:v>
      </x:c>
      <x:c r="J228" s="2"/>
      <x:c r="K228" s="5" t="e">
        <x:f>Tabela1[[#This Row],[Estoque total]]-Tabela1[[#This Row],[Consumo]]</x:f>
        <x:v>#VALUE!</x:v>
      </x:c>
      <x:c r="L228" s="9" t="e">
        <x:f>(Tabela1[[#This Row],[Valor total]]/Tabela1[[#This Row],[Estoque total]])*Tabela1[[#This Row],[Consumo]]</x:f>
        <x:v>#VALUE!</x:v>
      </x:c>
    </x:row>
    <x:row r="229">
      <x:c r="A229" s="2" t="s">
        <x:v>462</x:v>
      </x:c>
      <x:c r="B229" s="2" t="s">
        <x:v>463</x:v>
      </x:c>
      <x:c r="C229" s="2" t="s">
        <x:v>14</x:v>
      </x:c>
      <x:c r="D229" s="2" t="s">
        <x:v>15</x:v>
      </x:c>
      <x:c r="E229" s="2" t="s">
        <x:v>16</x:v>
      </x:c>
      <x:c r="F229" s="2" t="s">
        <x:v>17</x:v>
      </x:c>
      <x:c r="G229" s="3">
        <x:v>16</x:v>
      </x:c>
      <x:c r="H229" s="2" t="s">
        <x:v>18</x:v>
      </x:c>
      <x:c r="I229" s="7">
        <x:v>762.4</x:v>
      </x:c>
      <x:c r="J229" s="2" t="n">
        <x:v>4</x:v>
      </x:c>
      <x:c r="K229" s="5" t="n">
        <x:f>Tabela1[[#This Row],[Estoque total]]-Tabela1[[#This Row],[Consumo]]</x:f>
        <x:v>12</x:v>
      </x:c>
      <x:c r="L229" s="9" t="n">
        <x:f>(Tabela1[[#This Row],[Valor total]]/Tabela1[[#This Row],[Estoque total]])*Tabela1[[#This Row],[Consumo]]</x:f>
        <x:v>190.6</x:v>
      </x:c>
    </x:row>
    <x:row r="230">
      <x:c r="A230" s="2" t="s">
        <x:v>464</x:v>
      </x:c>
      <x:c r="B230" s="2" t="s">
        <x:v>465</x:v>
      </x:c>
      <x:c r="C230" s="2" t="s">
        <x:v>14</x:v>
      </x:c>
      <x:c r="D230" s="2" t="s">
        <x:v>15</x:v>
      </x:c>
      <x:c r="E230" s="2" t="s">
        <x:v>16</x:v>
      </x:c>
      <x:c r="F230" s="2" t="s">
        <x:v>17</x:v>
      </x:c>
      <x:c r="G230" s="3">
        <x:v>16</x:v>
      </x:c>
      <x:c r="H230" s="2" t="s">
        <x:v>18</x:v>
      </x:c>
      <x:c r="I230" s="7">
        <x:v>225.6</x:v>
      </x:c>
      <x:c r="J230" s="2"/>
      <x:c r="K230" s="5" t="e">
        <x:f>Tabela1[[#This Row],[Estoque total]]-Tabela1[[#This Row],[Consumo]]</x:f>
        <x:v>#VALUE!</x:v>
      </x:c>
      <x:c r="L230" s="9" t="e">
        <x:f>(Tabela1[[#This Row],[Valor total]]/Tabela1[[#This Row],[Estoque total]])*Tabela1[[#This Row],[Consumo]]</x:f>
        <x:v>#VALUE!</x:v>
      </x:c>
    </x:row>
    <x:row r="231">
      <x:c r="A231" s="2" t="s">
        <x:v>466</x:v>
      </x:c>
      <x:c r="B231" s="2" t="s">
        <x:v>467</x:v>
      </x:c>
      <x:c r="C231" s="2" t="s">
        <x:v>14</x:v>
      </x:c>
      <x:c r="D231" s="2" t="s">
        <x:v>15</x:v>
      </x:c>
      <x:c r="E231" s="2" t="s">
        <x:v>16</x:v>
      </x:c>
      <x:c r="F231" s="2" t="s">
        <x:v>17</x:v>
      </x:c>
      <x:c r="G231" s="3">
        <x:v>295</x:v>
      </x:c>
      <x:c r="H231" s="2" t="s">
        <x:v>18</x:v>
      </x:c>
      <x:c r="I231" s="7">
        <x:v>8737.27</x:v>
      </x:c>
      <x:c r="J231" s="2" t="n">
        <x:v>21</x:v>
      </x:c>
      <x:c r="K231" s="5" t="n">
        <x:f>Tabela1[[#This Row],[Estoque total]]-Tabela1[[#This Row],[Consumo]]</x:f>
        <x:v>274</x:v>
      </x:c>
      <x:c r="L231" s="9" t="n">
        <x:f>(Tabela1[[#This Row],[Valor total]]/Tabela1[[#This Row],[Estoque total]])*Tabela1[[#This Row],[Consumo]]</x:f>
        <x:v>621.9751525423729</x:v>
      </x:c>
    </x:row>
    <x:row r="232">
      <x:c r="A232" s="2" t="s">
        <x:v>468</x:v>
      </x:c>
      <x:c r="B232" s="2" t="s">
        <x:v>469</x:v>
      </x:c>
      <x:c r="C232" s="2" t="s">
        <x:v>14</x:v>
      </x:c>
      <x:c r="D232" s="2" t="s">
        <x:v>15</x:v>
      </x:c>
      <x:c r="E232" s="2" t="s">
        <x:v>16</x:v>
      </x:c>
      <x:c r="F232" s="2" t="s">
        <x:v>17</x:v>
      </x:c>
      <x:c r="G232" s="3">
        <x:v>13</x:v>
      </x:c>
      <x:c r="H232" s="2" t="s">
        <x:v>18</x:v>
      </x:c>
      <x:c r="I232" s="7">
        <x:v>245.7</x:v>
      </x:c>
      <x:c r="J232" s="2"/>
      <x:c r="K232" s="5" t="e">
        <x:f>Tabela1[[#This Row],[Estoque total]]-Tabela1[[#This Row],[Consumo]]</x:f>
        <x:v>#VALUE!</x:v>
      </x:c>
      <x:c r="L232" s="9" t="e">
        <x:f>(Tabela1[[#This Row],[Valor total]]/Tabela1[[#This Row],[Estoque total]])*Tabela1[[#This Row],[Consumo]]</x:f>
        <x:v>#VALUE!</x:v>
      </x:c>
    </x:row>
    <x:row r="233">
      <x:c r="A233" s="2" t="s">
        <x:v>470</x:v>
      </x:c>
      <x:c r="B233" s="2" t="s">
        <x:v>471</x:v>
      </x:c>
      <x:c r="C233" s="2" t="s">
        <x:v>14</x:v>
      </x:c>
      <x:c r="D233" s="2" t="s">
        <x:v>15</x:v>
      </x:c>
      <x:c r="E233" s="2" t="s">
        <x:v>16</x:v>
      </x:c>
      <x:c r="F233" s="2" t="s">
        <x:v>17</x:v>
      </x:c>
      <x:c r="G233" s="3">
        <x:v>1</x:v>
      </x:c>
      <x:c r="H233" s="2" t="s">
        <x:v>18</x:v>
      </x:c>
      <x:c r="I233" s="7">
        <x:v>85.5</x:v>
      </x:c>
      <x:c r="J233" s="2"/>
      <x:c r="K233" s="5" t="e">
        <x:f>Tabela1[[#This Row],[Estoque total]]-Tabela1[[#This Row],[Consumo]]</x:f>
        <x:v>#VALUE!</x:v>
      </x:c>
      <x:c r="L233" s="9" t="e">
        <x:f>(Tabela1[[#This Row],[Valor total]]/Tabela1[[#This Row],[Estoque total]])*Tabela1[[#This Row],[Consumo]]</x:f>
        <x:v>#VALUE!</x:v>
      </x:c>
    </x:row>
    <x:row r="234">
      <x:c r="A234" s="2" t="s">
        <x:v>472</x:v>
      </x:c>
      <x:c r="B234" s="2" t="s">
        <x:v>473</x:v>
      </x:c>
      <x:c r="C234" s="2" t="s">
        <x:v>14</x:v>
      </x:c>
      <x:c r="D234" s="2" t="s">
        <x:v>15</x:v>
      </x:c>
      <x:c r="E234" s="2" t="s">
        <x:v>16</x:v>
      </x:c>
      <x:c r="F234" s="2" t="s">
        <x:v>17</x:v>
      </x:c>
      <x:c r="G234" s="3">
        <x:v>1</x:v>
      </x:c>
      <x:c r="H234" s="2" t="s">
        <x:v>18</x:v>
      </x:c>
      <x:c r="I234" s="7">
        <x:v>85.32</x:v>
      </x:c>
      <x:c r="J234" s="2"/>
      <x:c r="K234" s="5" t="e">
        <x:f>Tabela1[[#This Row],[Estoque total]]-Tabela1[[#This Row],[Consumo]]</x:f>
        <x:v>#VALUE!</x:v>
      </x:c>
      <x:c r="L234" s="9" t="e">
        <x:f>(Tabela1[[#This Row],[Valor total]]/Tabela1[[#This Row],[Estoque total]])*Tabela1[[#This Row],[Consumo]]</x:f>
        <x:v>#VALUE!</x:v>
      </x:c>
    </x:row>
    <x:row r="235">
      <x:c r="A235" s="2" t="s">
        <x:v>474</x:v>
      </x:c>
      <x:c r="B235" s="2" t="s">
        <x:v>475</x:v>
      </x:c>
      <x:c r="C235" s="2" t="s">
        <x:v>14</x:v>
      </x:c>
      <x:c r="D235" s="2" t="s">
        <x:v>15</x:v>
      </x:c>
      <x:c r="E235" s="2" t="s">
        <x:v>16</x:v>
      </x:c>
      <x:c r="F235" s="2" t="s">
        <x:v>17</x:v>
      </x:c>
      <x:c r="G235" s="3">
        <x:v>42</x:v>
      </x:c>
      <x:c r="H235" s="2" t="s">
        <x:v>18</x:v>
      </x:c>
      <x:c r="I235" s="7">
        <x:v>2611.0300000000002</x:v>
      </x:c>
      <x:c r="J235" s="2"/>
      <x:c r="K235" s="5" t="e">
        <x:f>Tabela1[[#This Row],[Estoque total]]-Tabela1[[#This Row],[Consumo]]</x:f>
        <x:v>#VALUE!</x:v>
      </x:c>
      <x:c r="L235" s="9" t="e">
        <x:f>(Tabela1[[#This Row],[Valor total]]/Tabela1[[#This Row],[Estoque total]])*Tabela1[[#This Row],[Consumo]]</x:f>
        <x:v>#VALUE!</x:v>
      </x:c>
    </x:row>
    <x:row r="236">
      <x:c r="A236" s="2" t="s">
        <x:v>476</x:v>
      </x:c>
      <x:c r="B236" s="2" t="s">
        <x:v>477</x:v>
      </x:c>
      <x:c r="C236" s="2" t="s">
        <x:v>14</x:v>
      </x:c>
      <x:c r="D236" s="2" t="s">
        <x:v>15</x:v>
      </x:c>
      <x:c r="E236" s="2" t="s">
        <x:v>16</x:v>
      </x:c>
      <x:c r="F236" s="2" t="s">
        <x:v>17</x:v>
      </x:c>
      <x:c r="G236" s="3">
        <x:v>13</x:v>
      </x:c>
      <x:c r="H236" s="2" t="s">
        <x:v>18</x:v>
      </x:c>
      <x:c r="I236" s="7">
        <x:v>1060.8</x:v>
      </x:c>
      <x:c r="J236" s="2"/>
      <x:c r="K236" s="5" t="e">
        <x:f>Tabela1[[#This Row],[Estoque total]]-Tabela1[[#This Row],[Consumo]]</x:f>
        <x:v>#VALUE!</x:v>
      </x:c>
      <x:c r="L236" s="9" t="e">
        <x:f>(Tabela1[[#This Row],[Valor total]]/Tabela1[[#This Row],[Estoque total]])*Tabela1[[#This Row],[Consumo]]</x:f>
        <x:v>#VALUE!</x:v>
      </x:c>
    </x:row>
    <x:row r="237">
      <x:c r="A237" s="2" t="s">
        <x:v>478</x:v>
      </x:c>
      <x:c r="B237" s="2" t="s">
        <x:v>479</x:v>
      </x:c>
      <x:c r="C237" s="2" t="s">
        <x:v>14</x:v>
      </x:c>
      <x:c r="D237" s="2" t="s">
        <x:v>15</x:v>
      </x:c>
      <x:c r="E237" s="2" t="s">
        <x:v>16</x:v>
      </x:c>
      <x:c r="F237" s="2" t="s">
        <x:v>17</x:v>
      </x:c>
      <x:c r="G237" s="3">
        <x:v>13</x:v>
      </x:c>
      <x:c r="H237" s="2" t="s">
        <x:v>18</x:v>
      </x:c>
      <x:c r="I237" s="7">
        <x:v>55.25</x:v>
      </x:c>
      <x:c r="J237" s="2"/>
      <x:c r="K237" s="5" t="e">
        <x:f>Tabela1[[#This Row],[Estoque total]]-Tabela1[[#This Row],[Consumo]]</x:f>
        <x:v>#VALUE!</x:v>
      </x:c>
      <x:c r="L237" s="9" t="e">
        <x:f>(Tabela1[[#This Row],[Valor total]]/Tabela1[[#This Row],[Estoque total]])*Tabela1[[#This Row],[Consumo]]</x:f>
        <x:v>#VALUE!</x:v>
      </x:c>
    </x:row>
    <x:row r="238">
      <x:c r="A238" s="2" t="s">
        <x:v>480</x:v>
      </x:c>
      <x:c r="B238" s="2" t="s">
        <x:v>481</x:v>
      </x:c>
      <x:c r="C238" s="2" t="s">
        <x:v>14</x:v>
      </x:c>
      <x:c r="D238" s="2" t="s">
        <x:v>15</x:v>
      </x:c>
      <x:c r="E238" s="2" t="s">
        <x:v>16</x:v>
      </x:c>
      <x:c r="F238" s="2" t="s">
        <x:v>17</x:v>
      </x:c>
      <x:c r="G238" s="3">
        <x:v>32</x:v>
      </x:c>
      <x:c r="H238" s="2" t="s">
        <x:v>18</x:v>
      </x:c>
      <x:c r="I238" s="7">
        <x:v>3072</x:v>
      </x:c>
      <x:c r="J238" s="2"/>
      <x:c r="K238" s="5" t="e">
        <x:f>Tabela1[[#This Row],[Estoque total]]-Tabela1[[#This Row],[Consumo]]</x:f>
        <x:v>#VALUE!</x:v>
      </x:c>
      <x:c r="L238" s="9" t="e">
        <x:f>(Tabela1[[#This Row],[Valor total]]/Tabela1[[#This Row],[Estoque total]])*Tabela1[[#This Row],[Consumo]]</x:f>
        <x:v>#VALUE!</x:v>
      </x:c>
    </x:row>
    <x:row r="239">
      <x:c r="A239" s="2" t="s">
        <x:v>482</x:v>
      </x:c>
      <x:c r="B239" s="2" t="s">
        <x:v>483</x:v>
      </x:c>
      <x:c r="C239" s="2" t="s">
        <x:v>14</x:v>
      </x:c>
      <x:c r="D239" s="2" t="s">
        <x:v>15</x:v>
      </x:c>
      <x:c r="E239" s="2" t="s">
        <x:v>16</x:v>
      </x:c>
      <x:c r="F239" s="2" t="s">
        <x:v>17</x:v>
      </x:c>
      <x:c r="G239" s="3">
        <x:v>276</x:v>
      </x:c>
      <x:c r="H239" s="2" t="s">
        <x:v>18</x:v>
      </x:c>
      <x:c r="I239" s="7">
        <x:v>30061.85</x:v>
      </x:c>
      <x:c r="J239" s="2"/>
      <x:c r="K239" s="5" t="e">
        <x:f>Tabela1[[#This Row],[Estoque total]]-Tabela1[[#This Row],[Consumo]]</x:f>
        <x:v>#VALUE!</x:v>
      </x:c>
      <x:c r="L239" s="9" t="e">
        <x:f>(Tabela1[[#This Row],[Valor total]]/Tabela1[[#This Row],[Estoque total]])*Tabela1[[#This Row],[Consumo]]</x:f>
        <x:v>#VALUE!</x:v>
      </x:c>
    </x:row>
    <x:row r="240">
      <x:c r="A240" s="2" t="s">
        <x:v>484</x:v>
      </x:c>
      <x:c r="B240" s="2" t="s">
        <x:v>485</x:v>
      </x:c>
      <x:c r="C240" s="2" t="s">
        <x:v>14</x:v>
      </x:c>
      <x:c r="D240" s="2" t="s">
        <x:v>15</x:v>
      </x:c>
      <x:c r="E240" s="2" t="s">
        <x:v>16</x:v>
      </x:c>
      <x:c r="F240" s="2" t="s">
        <x:v>17</x:v>
      </x:c>
      <x:c r="G240" s="3">
        <x:v>128</x:v>
      </x:c>
      <x:c r="H240" s="2" t="s">
        <x:v>18</x:v>
      </x:c>
      <x:c r="I240" s="7">
        <x:v>7132.41</x:v>
      </x:c>
      <x:c r="J240" s="2"/>
      <x:c r="K240" s="5" t="e">
        <x:f>Tabela1[[#This Row],[Estoque total]]-Tabela1[[#This Row],[Consumo]]</x:f>
        <x:v>#VALUE!</x:v>
      </x:c>
      <x:c r="L240" s="9" t="e">
        <x:f>(Tabela1[[#This Row],[Valor total]]/Tabela1[[#This Row],[Estoque total]])*Tabela1[[#This Row],[Consumo]]</x:f>
        <x:v>#VALUE!</x:v>
      </x:c>
    </x:row>
    <x:row r="241">
      <x:c r="A241" s="2" t="s">
        <x:v>486</x:v>
      </x:c>
      <x:c r="B241" s="2" t="s">
        <x:v>487</x:v>
      </x:c>
      <x:c r="C241" s="2" t="s">
        <x:v>14</x:v>
      </x:c>
      <x:c r="D241" s="2" t="s">
        <x:v>15</x:v>
      </x:c>
      <x:c r="E241" s="2" t="s">
        <x:v>16</x:v>
      </x:c>
      <x:c r="F241" s="2" t="s">
        <x:v>17</x:v>
      </x:c>
      <x:c r="G241" s="3">
        <x:v>300</x:v>
      </x:c>
      <x:c r="H241" s="2" t="s">
        <x:v>18</x:v>
      </x:c>
      <x:c r="I241" s="7">
        <x:v>13963.77</x:v>
      </x:c>
      <x:c r="J241" s="2" t="n">
        <x:v>29</x:v>
      </x:c>
      <x:c r="K241" s="5" t="n">
        <x:f>Tabela1[[#This Row],[Estoque total]]-Tabela1[[#This Row],[Consumo]]</x:f>
        <x:v>271</x:v>
      </x:c>
      <x:c r="L241" s="9" t="n">
        <x:f>(Tabela1[[#This Row],[Valor total]]/Tabela1[[#This Row],[Estoque total]])*Tabela1[[#This Row],[Consumo]]</x:f>
        <x:v>1349.8311</x:v>
      </x:c>
    </x:row>
    <x:row r="242">
      <x:c r="A242" s="2" t="s">
        <x:v>488</x:v>
      </x:c>
      <x:c r="B242" s="2" t="s">
        <x:v>489</x:v>
      </x:c>
      <x:c r="C242" s="2" t="s">
        <x:v>14</x:v>
      </x:c>
      <x:c r="D242" s="2" t="s">
        <x:v>15</x:v>
      </x:c>
      <x:c r="E242" s="2" t="s">
        <x:v>16</x:v>
      </x:c>
      <x:c r="F242" s="2" t="s">
        <x:v>17</x:v>
      </x:c>
      <x:c r="G242" s="3">
        <x:v>256</x:v>
      </x:c>
      <x:c r="H242" s="2" t="s">
        <x:v>18</x:v>
      </x:c>
      <x:c r="I242" s="7">
        <x:v>13170.79</x:v>
      </x:c>
      <x:c r="J242" s="2" t="n">
        <x:v>21</x:v>
      </x:c>
      <x:c r="K242" s="5" t="n">
        <x:f>Tabela1[[#This Row],[Estoque total]]-Tabela1[[#This Row],[Consumo]]</x:f>
        <x:v>235</x:v>
      </x:c>
      <x:c r="L242" s="9" t="n">
        <x:f>(Tabela1[[#This Row],[Valor total]]/Tabela1[[#This Row],[Estoque total]])*Tabela1[[#This Row],[Consumo]]</x:f>
        <x:v>1080.4163671875</x:v>
      </x:c>
    </x:row>
    <x:row r="243">
      <x:c r="A243" s="2" t="s">
        <x:v>490</x:v>
      </x:c>
      <x:c r="B243" s="2" t="s">
        <x:v>491</x:v>
      </x:c>
      <x:c r="C243" s="2" t="s">
        <x:v>14</x:v>
      </x:c>
      <x:c r="D243" s="2" t="s">
        <x:v>15</x:v>
      </x:c>
      <x:c r="E243" s="2" t="s">
        <x:v>16</x:v>
      </x:c>
      <x:c r="F243" s="2" t="s">
        <x:v>17</x:v>
      </x:c>
      <x:c r="G243" s="3">
        <x:v>170</x:v>
      </x:c>
      <x:c r="H243" s="2" t="s">
        <x:v>18</x:v>
      </x:c>
      <x:c r="I243" s="7">
        <x:v>6494.58</x:v>
      </x:c>
      <x:c r="J243" s="2"/>
      <x:c r="K243" s="5" t="e">
        <x:f>Tabela1[[#This Row],[Estoque total]]-Tabela1[[#This Row],[Consumo]]</x:f>
        <x:v>#VALUE!</x:v>
      </x:c>
      <x:c r="L243" s="9" t="e">
        <x:f>(Tabela1[[#This Row],[Valor total]]/Tabela1[[#This Row],[Estoque total]])*Tabela1[[#This Row],[Consumo]]</x:f>
        <x:v>#VALUE!</x:v>
      </x:c>
    </x:row>
    <x:row r="244">
      <x:c r="A244" s="2" t="s">
        <x:v>492</x:v>
      </x:c>
      <x:c r="B244" s="2" t="s">
        <x:v>493</x:v>
      </x:c>
      <x:c r="C244" s="2" t="s">
        <x:v>14</x:v>
      </x:c>
      <x:c r="D244" s="2" t="s">
        <x:v>15</x:v>
      </x:c>
      <x:c r="E244" s="2" t="s">
        <x:v>16</x:v>
      </x:c>
      <x:c r="F244" s="2" t="s">
        <x:v>31</x:v>
      </x:c>
      <x:c r="G244" s="3">
        <x:v>1</x:v>
      </x:c>
      <x:c r="H244" s="2" t="s">
        <x:v>18</x:v>
      </x:c>
      <x:c r="I244" s="7">
        <x:v>595</x:v>
      </x:c>
      <x:c r="J244" s="2"/>
      <x:c r="K244" s="5" t="e">
        <x:f>Tabela1[[#This Row],[Estoque total]]-Tabela1[[#This Row],[Consumo]]</x:f>
        <x:v>#VALUE!</x:v>
      </x:c>
      <x:c r="L244" s="9" t="e">
        <x:f>(Tabela1[[#This Row],[Valor total]]/Tabela1[[#This Row],[Estoque total]])*Tabela1[[#This Row],[Consumo]]</x:f>
        <x:v>#VALUE!</x:v>
      </x:c>
    </x:row>
    <x:row r="245">
      <x:c r="A245" s="2" t="s">
        <x:v>492</x:v>
      </x:c>
      <x:c r="B245" s="2" t="s">
        <x:v>493</x:v>
      </x:c>
      <x:c r="C245" s="2" t="s">
        <x:v>14</x:v>
      </x:c>
      <x:c r="D245" s="2" t="s">
        <x:v>15</x:v>
      </x:c>
      <x:c r="E245" s="2" t="s">
        <x:v>16</x:v>
      </x:c>
      <x:c r="F245" s="2" t="s">
        <x:v>17</x:v>
      </x:c>
      <x:c r="G245" s="3">
        <x:v>22</x:v>
      </x:c>
      <x:c r="H245" s="2" t="s">
        <x:v>18</x:v>
      </x:c>
      <x:c r="I245" s="7">
        <x:v>10643.74</x:v>
      </x:c>
      <x:c r="J245" s="2"/>
      <x:c r="K245" s="5" t="e">
        <x:f>Tabela1[[#This Row],[Estoque total]]-Tabela1[[#This Row],[Consumo]]</x:f>
        <x:v>#VALUE!</x:v>
      </x:c>
      <x:c r="L245" s="9" t="e">
        <x:f>(Tabela1[[#This Row],[Valor total]]/Tabela1[[#This Row],[Estoque total]])*Tabela1[[#This Row],[Consumo]]</x:f>
        <x:v>#VALUE!</x:v>
      </x:c>
    </x:row>
    <x:row r="246">
      <x:c r="A246" s="2" t="s">
        <x:v>494</x:v>
      </x:c>
      <x:c r="B246" s="2" t="s">
        <x:v>495</x:v>
      </x:c>
      <x:c r="C246" s="2" t="s">
        <x:v>14</x:v>
      </x:c>
      <x:c r="D246" s="2" t="s">
        <x:v>15</x:v>
      </x:c>
      <x:c r="E246" s="2" t="s">
        <x:v>16</x:v>
      </x:c>
      <x:c r="F246" s="2" t="s">
        <x:v>17</x:v>
      </x:c>
      <x:c r="G246" s="3">
        <x:v>1</x:v>
      </x:c>
      <x:c r="H246" s="2" t="s">
        <x:v>18</x:v>
      </x:c>
      <x:c r="I246" s="7">
        <x:v>1251.08</x:v>
      </x:c>
      <x:c r="J246" s="2"/>
      <x:c r="K246" s="5" t="e">
        <x:f>Tabela1[[#This Row],[Estoque total]]-Tabela1[[#This Row],[Consumo]]</x:f>
        <x:v>#VALUE!</x:v>
      </x:c>
      <x:c r="L246" s="9" t="e">
        <x:f>(Tabela1[[#This Row],[Valor total]]/Tabela1[[#This Row],[Estoque total]])*Tabela1[[#This Row],[Consumo]]</x:f>
        <x:v>#VALUE!</x:v>
      </x:c>
    </x:row>
    <x:row r="247">
      <x:c r="A247" s="2" t="s">
        <x:v>496</x:v>
      </x:c>
      <x:c r="B247" s="2" t="s">
        <x:v>497</x:v>
      </x:c>
      <x:c r="C247" s="2" t="s">
        <x:v>14</x:v>
      </x:c>
      <x:c r="D247" s="2" t="s">
        <x:v>15</x:v>
      </x:c>
      <x:c r="E247" s="2" t="s">
        <x:v>16</x:v>
      </x:c>
      <x:c r="F247" s="2" t="s">
        <x:v>17</x:v>
      </x:c>
      <x:c r="G247" s="3">
        <x:v>39</x:v>
      </x:c>
      <x:c r="H247" s="2" t="s">
        <x:v>18</x:v>
      </x:c>
      <x:c r="I247" s="7">
        <x:v>3412.5</x:v>
      </x:c>
      <x:c r="J247" s="2"/>
      <x:c r="K247" s="5" t="e">
        <x:f>Tabela1[[#This Row],[Estoque total]]-Tabela1[[#This Row],[Consumo]]</x:f>
        <x:v>#VALUE!</x:v>
      </x:c>
      <x:c r="L247" s="9" t="e">
        <x:f>(Tabela1[[#This Row],[Valor total]]/Tabela1[[#This Row],[Estoque total]])*Tabela1[[#This Row],[Consumo]]</x:f>
        <x:v>#VALUE!</x:v>
      </x:c>
    </x:row>
    <x:row r="248">
      <x:c r="A248" s="2" t="s">
        <x:v>498</x:v>
      </x:c>
      <x:c r="B248" s="2" t="s">
        <x:v>499</x:v>
      </x:c>
      <x:c r="C248" s="2" t="s">
        <x:v>14</x:v>
      </x:c>
      <x:c r="D248" s="2" t="s">
        <x:v>15</x:v>
      </x:c>
      <x:c r="E248" s="2" t="s">
        <x:v>16</x:v>
      </x:c>
      <x:c r="F248" s="2" t="s">
        <x:v>17</x:v>
      </x:c>
      <x:c r="G248" s="3">
        <x:v>8000</x:v>
      </x:c>
      <x:c r="H248" s="2" t="s">
        <x:v>18</x:v>
      </x:c>
      <x:c r="I248" s="7">
        <x:v>16720</x:v>
      </x:c>
      <x:c r="J248" s="2"/>
      <x:c r="K248" s="5" t="e">
        <x:f>Tabela1[[#This Row],[Estoque total]]-Tabela1[[#This Row],[Consumo]]</x:f>
        <x:v>#VALUE!</x:v>
      </x:c>
      <x:c r="L248" s="9" t="e">
        <x:f>(Tabela1[[#This Row],[Valor total]]/Tabela1[[#This Row],[Estoque total]])*Tabela1[[#This Row],[Consumo]]</x:f>
        <x:v>#VALUE!</x:v>
      </x:c>
    </x:row>
    <x:row r="249">
      <x:c r="A249" s="2" t="s">
        <x:v>500</x:v>
      </x:c>
      <x:c r="B249" s="2" t="s">
        <x:v>501</x:v>
      </x:c>
      <x:c r="C249" s="2" t="s">
        <x:v>14</x:v>
      </x:c>
      <x:c r="D249" s="2" t="s">
        <x:v>15</x:v>
      </x:c>
      <x:c r="E249" s="2" t="s">
        <x:v>16</x:v>
      </x:c>
      <x:c r="F249" s="2" t="s">
        <x:v>17</x:v>
      </x:c>
      <x:c r="G249" s="3">
        <x:v>8000</x:v>
      </x:c>
      <x:c r="H249" s="2" t="s">
        <x:v>18</x:v>
      </x:c>
      <x:c r="I249" s="7">
        <x:v>17440</x:v>
      </x:c>
      <x:c r="J249" s="2"/>
      <x:c r="K249" s="5" t="e">
        <x:f>Tabela1[[#This Row],[Estoque total]]-Tabela1[[#This Row],[Consumo]]</x:f>
        <x:v>#VALUE!</x:v>
      </x:c>
      <x:c r="L249" s="9" t="e">
        <x:f>(Tabela1[[#This Row],[Valor total]]/Tabela1[[#This Row],[Estoque total]])*Tabela1[[#This Row],[Consumo]]</x:f>
        <x:v>#VALUE!</x:v>
      </x:c>
    </x:row>
    <x:row r="250">
      <x:c r="A250" s="2" t="s">
        <x:v>502</x:v>
      </x:c>
      <x:c r="B250" s="2" t="s">
        <x:v>503</x:v>
      </x:c>
      <x:c r="C250" s="2" t="s">
        <x:v>14</x:v>
      </x:c>
      <x:c r="D250" s="2" t="s">
        <x:v>15</x:v>
      </x:c>
      <x:c r="E250" s="2" t="s">
        <x:v>16</x:v>
      </x:c>
      <x:c r="F250" s="2" t="s">
        <x:v>17</x:v>
      </x:c>
      <x:c r="G250" s="3">
        <x:v>5740</x:v>
      </x:c>
      <x:c r="H250" s="2" t="s">
        <x:v>18</x:v>
      </x:c>
      <x:c r="I250" s="7">
        <x:v>11422.6</x:v>
      </x:c>
      <x:c r="J250" s="2"/>
      <x:c r="K250" s="5" t="e">
        <x:f>Tabela1[[#This Row],[Estoque total]]-Tabela1[[#This Row],[Consumo]]</x:f>
        <x:v>#VALUE!</x:v>
      </x:c>
      <x:c r="L250" s="9" t="e">
        <x:f>(Tabela1[[#This Row],[Valor total]]/Tabela1[[#This Row],[Estoque total]])*Tabela1[[#This Row],[Consumo]]</x:f>
        <x:v>#VALUE!</x:v>
      </x:c>
    </x:row>
    <x:row r="251">
      <x:c r="A251" s="2" t="s">
        <x:v>504</x:v>
      </x:c>
      <x:c r="B251" s="2" t="s">
        <x:v>505</x:v>
      </x:c>
      <x:c r="C251" s="2" t="s">
        <x:v>14</x:v>
      </x:c>
      <x:c r="D251" s="2" t="s">
        <x:v>15</x:v>
      </x:c>
      <x:c r="E251" s="2" t="s">
        <x:v>16</x:v>
      </x:c>
      <x:c r="F251" s="2" t="s">
        <x:v>17</x:v>
      </x:c>
      <x:c r="G251" s="3">
        <x:v>8</x:v>
      </x:c>
      <x:c r="H251" s="2" t="s">
        <x:v>18</x:v>
      </x:c>
      <x:c r="I251" s="7">
        <x:v>222.4</x:v>
      </x:c>
      <x:c r="J251" s="2"/>
      <x:c r="K251" s="5" t="e">
        <x:f>Tabela1[[#This Row],[Estoque total]]-Tabela1[[#This Row],[Consumo]]</x:f>
        <x:v>#VALUE!</x:v>
      </x:c>
      <x:c r="L251" s="9" t="e">
        <x:f>(Tabela1[[#This Row],[Valor total]]/Tabela1[[#This Row],[Estoque total]])*Tabela1[[#This Row],[Consumo]]</x:f>
        <x:v>#VALUE!</x:v>
      </x:c>
    </x:row>
    <x:row r="252">
      <x:c r="A252" s="2" t="s">
        <x:v>506</x:v>
      </x:c>
      <x:c r="B252" s="2" t="s">
        <x:v>507</x:v>
      </x:c>
      <x:c r="C252" s="2" t="s">
        <x:v>14</x:v>
      </x:c>
      <x:c r="D252" s="2" t="s">
        <x:v>15</x:v>
      </x:c>
      <x:c r="E252" s="2" t="s">
        <x:v>16</x:v>
      </x:c>
      <x:c r="F252" s="2" t="s">
        <x:v>17</x:v>
      </x:c>
      <x:c r="G252" s="3">
        <x:v>217</x:v>
      </x:c>
      <x:c r="H252" s="2" t="s">
        <x:v>18</x:v>
      </x:c>
      <x:c r="I252" s="7">
        <x:v>14799.4</x:v>
      </x:c>
      <x:c r="J252" s="2"/>
      <x:c r="K252" s="5" t="e">
        <x:f>Tabela1[[#This Row],[Estoque total]]-Tabela1[[#This Row],[Consumo]]</x:f>
        <x:v>#VALUE!</x:v>
      </x:c>
      <x:c r="L252" s="9" t="e">
        <x:f>(Tabela1[[#This Row],[Valor total]]/Tabela1[[#This Row],[Estoque total]])*Tabela1[[#This Row],[Consumo]]</x:f>
        <x:v>#VALUE!</x:v>
      </x:c>
    </x:row>
    <x:row r="253">
      <x:c r="A253" s="2" t="s">
        <x:v>508</x:v>
      </x:c>
      <x:c r="B253" s="2" t="s">
        <x:v>509</x:v>
      </x:c>
      <x:c r="C253" s="2" t="s">
        <x:v>14</x:v>
      </x:c>
      <x:c r="D253" s="2" t="s">
        <x:v>15</x:v>
      </x:c>
      <x:c r="E253" s="2" t="s">
        <x:v>16</x:v>
      </x:c>
      <x:c r="F253" s="2" t="s">
        <x:v>17</x:v>
      </x:c>
      <x:c r="G253" s="3">
        <x:v>18</x:v>
      </x:c>
      <x:c r="H253" s="2" t="s">
        <x:v>18</x:v>
      </x:c>
      <x:c r="I253" s="7">
        <x:v>1535.36</x:v>
      </x:c>
      <x:c r="J253" s="2"/>
      <x:c r="K253" s="5" t="e">
        <x:f>Tabela1[[#This Row],[Estoque total]]-Tabela1[[#This Row],[Consumo]]</x:f>
        <x:v>#VALUE!</x:v>
      </x:c>
      <x:c r="L253" s="9" t="e">
        <x:f>(Tabela1[[#This Row],[Valor total]]/Tabela1[[#This Row],[Estoque total]])*Tabela1[[#This Row],[Consumo]]</x:f>
        <x:v>#VALUE!</x:v>
      </x:c>
    </x:row>
    <x:row r="254">
      <x:c r="A254" s="2" t="s">
        <x:v>510</x:v>
      </x:c>
      <x:c r="B254" s="2" t="s">
        <x:v>511</x:v>
      </x:c>
      <x:c r="C254" s="2" t="s">
        <x:v>14</x:v>
      </x:c>
      <x:c r="D254" s="2" t="s">
        <x:v>15</x:v>
      </x:c>
      <x:c r="E254" s="2" t="s">
        <x:v>16</x:v>
      </x:c>
      <x:c r="F254" s="2" t="s">
        <x:v>17</x:v>
      </x:c>
      <x:c r="G254" s="3">
        <x:v>248</x:v>
      </x:c>
      <x:c r="H254" s="2" t="s">
        <x:v>18</x:v>
      </x:c>
      <x:c r="I254" s="7">
        <x:v>5704</x:v>
      </x:c>
      <x:c r="J254" s="2"/>
      <x:c r="K254" s="5" t="e">
        <x:f>Tabela1[[#This Row],[Estoque total]]-Tabela1[[#This Row],[Consumo]]</x:f>
        <x:v>#VALUE!</x:v>
      </x:c>
      <x:c r="L254" s="9" t="e">
        <x:f>(Tabela1[[#This Row],[Valor total]]/Tabela1[[#This Row],[Estoque total]])*Tabela1[[#This Row],[Consumo]]</x:f>
        <x:v>#VALUE!</x:v>
      </x:c>
    </x:row>
    <x:row r="255">
      <x:c r="A255" s="2" t="s">
        <x:v>512</x:v>
      </x:c>
      <x:c r="B255" s="2" t="s">
        <x:v>513</x:v>
      </x:c>
      <x:c r="C255" s="2" t="s">
        <x:v>14</x:v>
      </x:c>
      <x:c r="D255" s="2" t="s">
        <x:v>15</x:v>
      </x:c>
      <x:c r="E255" s="2" t="s">
        <x:v>16</x:v>
      </x:c>
      <x:c r="F255" s="2" t="s">
        <x:v>17</x:v>
      </x:c>
      <x:c r="G255" s="3">
        <x:v>8</x:v>
      </x:c>
      <x:c r="H255" s="2" t="s">
        <x:v>18</x:v>
      </x:c>
      <x:c r="I255" s="7">
        <x:v>296</x:v>
      </x:c>
      <x:c r="J255" s="2"/>
      <x:c r="K255" s="5" t="e">
        <x:f>Tabela1[[#This Row],[Estoque total]]-Tabela1[[#This Row],[Consumo]]</x:f>
        <x:v>#VALUE!</x:v>
      </x:c>
      <x:c r="L255" s="9" t="e">
        <x:f>(Tabela1[[#This Row],[Valor total]]/Tabela1[[#This Row],[Estoque total]])*Tabela1[[#This Row],[Consumo]]</x:f>
        <x:v>#VALUE!</x:v>
      </x:c>
    </x:row>
    <x:row r="256">
      <x:c r="A256" s="2" t="s">
        <x:v>514</x:v>
      </x:c>
      <x:c r="B256" s="2" t="s">
        <x:v>515</x:v>
      </x:c>
      <x:c r="C256" s="2" t="s">
        <x:v>14</x:v>
      </x:c>
      <x:c r="D256" s="2" t="s">
        <x:v>15</x:v>
      </x:c>
      <x:c r="E256" s="2" t="s">
        <x:v>16</x:v>
      </x:c>
      <x:c r="F256" s="2" t="s">
        <x:v>17</x:v>
      </x:c>
      <x:c r="G256" s="3">
        <x:v>10</x:v>
      </x:c>
      <x:c r="H256" s="2" t="s">
        <x:v>18</x:v>
      </x:c>
      <x:c r="I256" s="7">
        <x:v>17950</x:v>
      </x:c>
      <x:c r="J256" s="2"/>
      <x:c r="K256" s="5" t="e">
        <x:f>Tabela1[[#This Row],[Estoque total]]-Tabela1[[#This Row],[Consumo]]</x:f>
        <x:v>#VALUE!</x:v>
      </x:c>
      <x:c r="L256" s="9" t="e">
        <x:f>(Tabela1[[#This Row],[Valor total]]/Tabela1[[#This Row],[Estoque total]])*Tabela1[[#This Row],[Consumo]]</x:f>
        <x:v>#VALUE!</x:v>
      </x:c>
    </x:row>
    <x:row r="257">
      <x:c r="A257" s="2" t="s">
        <x:v>516</x:v>
      </x:c>
      <x:c r="B257" s="2" t="s">
        <x:v>517</x:v>
      </x:c>
      <x:c r="C257" s="2" t="s">
        <x:v>14</x:v>
      </x:c>
      <x:c r="D257" s="2" t="s">
        <x:v>15</x:v>
      </x:c>
      <x:c r="E257" s="2" t="s">
        <x:v>16</x:v>
      </x:c>
      <x:c r="F257" s="2" t="s">
        <x:v>31</x:v>
      </x:c>
      <x:c r="G257" s="3">
        <x:v>6</x:v>
      </x:c>
      <x:c r="H257" s="2" t="s">
        <x:v>18</x:v>
      </x:c>
      <x:c r="I257" s="7">
        <x:v>69</x:v>
      </x:c>
      <x:c r="J257" s="2"/>
      <x:c r="K257" s="5" t="e">
        <x:f>Tabela1[[#This Row],[Estoque total]]-Tabela1[[#This Row],[Consumo]]</x:f>
        <x:v>#VALUE!</x:v>
      </x:c>
      <x:c r="L257" s="9" t="e">
        <x:f>(Tabela1[[#This Row],[Valor total]]/Tabela1[[#This Row],[Estoque total]])*Tabela1[[#This Row],[Consumo]]</x:f>
        <x:v>#VALUE!</x:v>
      </x:c>
    </x:row>
    <x:row r="258">
      <x:c r="A258" s="2" t="s">
        <x:v>516</x:v>
      </x:c>
      <x:c r="B258" s="2" t="s">
        <x:v>517</x:v>
      </x:c>
      <x:c r="C258" s="2" t="s">
        <x:v>14</x:v>
      </x:c>
      <x:c r="D258" s="2" t="s">
        <x:v>15</x:v>
      </x:c>
      <x:c r="E258" s="2" t="s">
        <x:v>16</x:v>
      </x:c>
      <x:c r="F258" s="2" t="s">
        <x:v>17</x:v>
      </x:c>
      <x:c r="G258" s="3">
        <x:v>354</x:v>
      </x:c>
      <x:c r="H258" s="2" t="s">
        <x:v>18</x:v>
      </x:c>
      <x:c r="I258" s="7">
        <x:v>3009</x:v>
      </x:c>
      <x:c r="J258" s="2"/>
      <x:c r="K258" s="5" t="e">
        <x:f>Tabela1[[#This Row],[Estoque total]]-Tabela1[[#This Row],[Consumo]]</x:f>
        <x:v>#VALUE!</x:v>
      </x:c>
      <x:c r="L258" s="9" t="e">
        <x:f>(Tabela1[[#This Row],[Valor total]]/Tabela1[[#This Row],[Estoque total]])*Tabela1[[#This Row],[Consumo]]</x:f>
        <x:v>#VALUE!</x:v>
      </x:c>
    </x:row>
    <x:row r="259">
      <x:c r="A259" s="2" t="s">
        <x:v>518</x:v>
      </x:c>
      <x:c r="B259" s="2" t="s">
        <x:v>519</x:v>
      </x:c>
      <x:c r="C259" s="2" t="s">
        <x:v>14</x:v>
      </x:c>
      <x:c r="D259" s="2" t="s">
        <x:v>15</x:v>
      </x:c>
      <x:c r="E259" s="2" t="s">
        <x:v>16</x:v>
      </x:c>
      <x:c r="F259" s="2" t="s">
        <x:v>17</x:v>
      </x:c>
      <x:c r="G259" s="3">
        <x:v>12900</x:v>
      </x:c>
      <x:c r="H259" s="2" t="s">
        <x:v>18</x:v>
      </x:c>
      <x:c r="I259" s="7">
        <x:v>10191</x:v>
      </x:c>
      <x:c r="J259" s="2"/>
      <x:c r="K259" s="5" t="e">
        <x:f>Tabela1[[#This Row],[Estoque total]]-Tabela1[[#This Row],[Consumo]]</x:f>
        <x:v>#VALUE!</x:v>
      </x:c>
      <x:c r="L259" s="9" t="e">
        <x:f>(Tabela1[[#This Row],[Valor total]]/Tabela1[[#This Row],[Estoque total]])*Tabela1[[#This Row],[Consumo]]</x:f>
        <x:v>#VALUE!</x:v>
      </x:c>
    </x:row>
    <x:row r="260">
      <x:c r="A260" s="2" t="s">
        <x:v>520</x:v>
      </x:c>
      <x:c r="B260" s="2" t="s">
        <x:v>521</x:v>
      </x:c>
      <x:c r="C260" s="2" t="s">
        <x:v>14</x:v>
      </x:c>
      <x:c r="D260" s="2" t="s">
        <x:v>15</x:v>
      </x:c>
      <x:c r="E260" s="2" t="s">
        <x:v>16</x:v>
      </x:c>
      <x:c r="F260" s="2" t="s">
        <x:v>31</x:v>
      </x:c>
      <x:c r="G260" s="3">
        <x:v>650</x:v>
      </x:c>
      <x:c r="H260" s="2" t="s">
        <x:v>18</x:v>
      </x:c>
      <x:c r="I260" s="7">
        <x:v>903.5</x:v>
      </x:c>
      <x:c r="J260" s="2"/>
      <x:c r="K260" s="5" t="e">
        <x:f>Tabela1[[#This Row],[Estoque total]]-Tabela1[[#This Row],[Consumo]]</x:f>
        <x:v>#VALUE!</x:v>
      </x:c>
      <x:c r="L260" s="9" t="e">
        <x:f>(Tabela1[[#This Row],[Valor total]]/Tabela1[[#This Row],[Estoque total]])*Tabela1[[#This Row],[Consumo]]</x:f>
        <x:v>#VALUE!</x:v>
      </x:c>
    </x:row>
    <x:row r="261">
      <x:c r="A261" s="2" t="s">
        <x:v>520</x:v>
      </x:c>
      <x:c r="B261" s="2" t="s">
        <x:v>521</x:v>
      </x:c>
      <x:c r="C261" s="2" t="s">
        <x:v>14</x:v>
      </x:c>
      <x:c r="D261" s="2" t="s">
        <x:v>15</x:v>
      </x:c>
      <x:c r="E261" s="2" t="s">
        <x:v>16</x:v>
      </x:c>
      <x:c r="F261" s="2" t="s">
        <x:v>17</x:v>
      </x:c>
      <x:c r="G261" s="3">
        <x:v>1500</x:v>
      </x:c>
      <x:c r="H261" s="2" t="s">
        <x:v>18</x:v>
      </x:c>
      <x:c r="I261" s="7">
        <x:v>1380</x:v>
      </x:c>
      <x:c r="J261" s="2"/>
      <x:c r="K261" s="5" t="e">
        <x:f>Tabela1[[#This Row],[Estoque total]]-Tabela1[[#This Row],[Consumo]]</x:f>
        <x:v>#VALUE!</x:v>
      </x:c>
      <x:c r="L261" s="9" t="e">
        <x:f>(Tabela1[[#This Row],[Valor total]]/Tabela1[[#This Row],[Estoque total]])*Tabela1[[#This Row],[Consumo]]</x:f>
        <x:v>#VALUE!</x:v>
      </x:c>
    </x:row>
    <x:row r="262">
      <x:c r="A262" s="2" t="s">
        <x:v>522</x:v>
      </x:c>
      <x:c r="B262" s="2" t="s">
        <x:v>523</x:v>
      </x:c>
      <x:c r="C262" s="2" t="s">
        <x:v>14</x:v>
      </x:c>
      <x:c r="D262" s="2" t="s">
        <x:v>15</x:v>
      </x:c>
      <x:c r="E262" s="2" t="s">
        <x:v>16</x:v>
      </x:c>
      <x:c r="F262" s="2" t="s">
        <x:v>17</x:v>
      </x:c>
      <x:c r="G262" s="3">
        <x:v>150</x:v>
      </x:c>
      <x:c r="H262" s="2" t="s">
        <x:v>18</x:v>
      </x:c>
      <x:c r="I262" s="7">
        <x:v>157.5</x:v>
      </x:c>
      <x:c r="J262" s="2"/>
      <x:c r="K262" s="5" t="e">
        <x:f>Tabela1[[#This Row],[Estoque total]]-Tabela1[[#This Row],[Consumo]]</x:f>
        <x:v>#VALUE!</x:v>
      </x:c>
      <x:c r="L262" s="9" t="e">
        <x:f>(Tabela1[[#This Row],[Valor total]]/Tabela1[[#This Row],[Estoque total]])*Tabela1[[#This Row],[Consumo]]</x:f>
        <x:v>#VALUE!</x:v>
      </x:c>
    </x:row>
    <x:row r="263">
      <x:c r="A263" s="2" t="s">
        <x:v>524</x:v>
      </x:c>
      <x:c r="B263" s="2" t="s">
        <x:v>525</x:v>
      </x:c>
      <x:c r="C263" s="2" t="s">
        <x:v>14</x:v>
      </x:c>
      <x:c r="D263" s="2" t="s">
        <x:v>15</x:v>
      </x:c>
      <x:c r="E263" s="2" t="s">
        <x:v>16</x:v>
      </x:c>
      <x:c r="F263" s="2" t="s">
        <x:v>17</x:v>
      </x:c>
      <x:c r="G263" s="3">
        <x:v>1</x:v>
      </x:c>
      <x:c r="H263" s="2" t="s">
        <x:v>18</x:v>
      </x:c>
      <x:c r="I263" s="7">
        <x:v>2.2400000000000002</x:v>
      </x:c>
      <x:c r="J263" s="2"/>
      <x:c r="K263" s="5" t="e">
        <x:f>Tabela1[[#This Row],[Estoque total]]-Tabela1[[#This Row],[Consumo]]</x:f>
        <x:v>#VALUE!</x:v>
      </x:c>
      <x:c r="L263" s="9" t="e">
        <x:f>(Tabela1[[#This Row],[Valor total]]/Tabela1[[#This Row],[Estoque total]])*Tabela1[[#This Row],[Consumo]]</x:f>
        <x:v>#VALUE!</x:v>
      </x:c>
    </x:row>
    <x:row r="264">
      <x:c r="A264" s="2" t="s">
        <x:v>526</x:v>
      </x:c>
      <x:c r="B264" s="2" t="s">
        <x:v>527</x:v>
      </x:c>
      <x:c r="C264" s="2" t="s">
        <x:v>14</x:v>
      </x:c>
      <x:c r="D264" s="2" t="s">
        <x:v>15</x:v>
      </x:c>
      <x:c r="E264" s="2" t="s">
        <x:v>16</x:v>
      </x:c>
      <x:c r="F264" s="2" t="s">
        <x:v>17</x:v>
      </x:c>
      <x:c r="G264" s="3">
        <x:v>4</x:v>
      </x:c>
      <x:c r="H264" s="2" t="s">
        <x:v>18</x:v>
      </x:c>
      <x:c r="I264" s="7">
        <x:v>31.28</x:v>
      </x:c>
      <x:c r="J264" s="2"/>
      <x:c r="K264" s="5" t="e">
        <x:f>Tabela1[[#This Row],[Estoque total]]-Tabela1[[#This Row],[Consumo]]</x:f>
        <x:v>#VALUE!</x:v>
      </x:c>
      <x:c r="L264" s="9" t="e">
        <x:f>(Tabela1[[#This Row],[Valor total]]/Tabela1[[#This Row],[Estoque total]])*Tabela1[[#This Row],[Consumo]]</x:f>
        <x:v>#VALUE!</x:v>
      </x:c>
    </x:row>
    <x:row r="265">
      <x:c r="A265" s="2" t="s">
        <x:v>528</x:v>
      </x:c>
      <x:c r="B265" s="2" t="s">
        <x:v>529</x:v>
      </x:c>
      <x:c r="C265" s="2" t="s">
        <x:v>14</x:v>
      </x:c>
      <x:c r="D265" s="2" t="s">
        <x:v>15</x:v>
      </x:c>
      <x:c r="E265" s="2" t="s">
        <x:v>16</x:v>
      </x:c>
      <x:c r="F265" s="2" t="s">
        <x:v>17</x:v>
      </x:c>
      <x:c r="G265" s="3">
        <x:v>4</x:v>
      </x:c>
      <x:c r="H265" s="2" t="s">
        <x:v>18</x:v>
      </x:c>
      <x:c r="I265" s="7">
        <x:v>17718.189999999999</x:v>
      </x:c>
      <x:c r="J265" s="2"/>
      <x:c r="K265" s="5" t="e">
        <x:f>Tabela1[[#This Row],[Estoque total]]-Tabela1[[#This Row],[Consumo]]</x:f>
        <x:v>#VALUE!</x:v>
      </x:c>
      <x:c r="L265" s="9" t="e">
        <x:f>(Tabela1[[#This Row],[Valor total]]/Tabela1[[#This Row],[Estoque total]])*Tabela1[[#This Row],[Consumo]]</x:f>
        <x:v>#VALUE!</x:v>
      </x:c>
    </x:row>
    <x:row r="266">
      <x:c r="A266" s="2" t="s">
        <x:v>530</x:v>
      </x:c>
      <x:c r="B266" s="2" t="s">
        <x:v>531</x:v>
      </x:c>
      <x:c r="C266" s="2" t="s">
        <x:v>14</x:v>
      </x:c>
      <x:c r="D266" s="2" t="s">
        <x:v>15</x:v>
      </x:c>
      <x:c r="E266" s="2" t="s">
        <x:v>16</x:v>
      </x:c>
      <x:c r="F266" s="2" t="s">
        <x:v>17</x:v>
      </x:c>
      <x:c r="G266" s="3">
        <x:v>4</x:v>
      </x:c>
      <x:c r="H266" s="2" t="s">
        <x:v>18</x:v>
      </x:c>
      <x:c r="I266" s="7">
        <x:v>24.77</x:v>
      </x:c>
      <x:c r="J266" s="2"/>
      <x:c r="K266" s="5" t="e">
        <x:f>Tabela1[[#This Row],[Estoque total]]-Tabela1[[#This Row],[Consumo]]</x:f>
        <x:v>#VALUE!</x:v>
      </x:c>
      <x:c r="L266" s="9" t="e">
        <x:f>(Tabela1[[#This Row],[Valor total]]/Tabela1[[#This Row],[Estoque total]])*Tabela1[[#This Row],[Consumo]]</x:f>
        <x:v>#VALUE!</x:v>
      </x:c>
    </x:row>
    <x:row r="267">
      <x:c r="A267" s="2" t="s">
        <x:v>532</x:v>
      </x:c>
      <x:c r="B267" s="2" t="s">
        <x:v>533</x:v>
      </x:c>
      <x:c r="C267" s="2" t="s">
        <x:v>14</x:v>
      </x:c>
      <x:c r="D267" s="2" t="s">
        <x:v>15</x:v>
      </x:c>
      <x:c r="E267" s="2" t="s">
        <x:v>16</x:v>
      </x:c>
      <x:c r="F267" s="2" t="s">
        <x:v>17</x:v>
      </x:c>
      <x:c r="G267" s="3">
        <x:v>164</x:v>
      </x:c>
      <x:c r="H267" s="2" t="s">
        <x:v>18</x:v>
      </x:c>
      <x:c r="I267" s="7">
        <x:v>1395.64</x:v>
      </x:c>
      <x:c r="J267" s="2"/>
      <x:c r="K267" s="5" t="e">
        <x:f>Tabela1[[#This Row],[Estoque total]]-Tabela1[[#This Row],[Consumo]]</x:f>
        <x:v>#VALUE!</x:v>
      </x:c>
      <x:c r="L267" s="9" t="e">
        <x:f>(Tabela1[[#This Row],[Valor total]]/Tabela1[[#This Row],[Estoque total]])*Tabela1[[#This Row],[Consumo]]</x:f>
        <x:v>#VALUE!</x:v>
      </x:c>
    </x:row>
    <x:row r="268">
      <x:c r="A268" s="2" t="s">
        <x:v>534</x:v>
      </x:c>
      <x:c r="B268" s="2" t="s">
        <x:v>535</x:v>
      </x:c>
      <x:c r="C268" s="2" t="s">
        <x:v>14</x:v>
      </x:c>
      <x:c r="D268" s="2" t="s">
        <x:v>15</x:v>
      </x:c>
      <x:c r="E268" s="2" t="s">
        <x:v>16</x:v>
      </x:c>
      <x:c r="F268" s="2" t="s">
        <x:v>17</x:v>
      </x:c>
      <x:c r="G268" s="3">
        <x:v>427</x:v>
      </x:c>
      <x:c r="H268" s="2" t="s">
        <x:v>18</x:v>
      </x:c>
      <x:c r="I268" s="7">
        <x:v>482.95</x:v>
      </x:c>
      <x:c r="J268" s="2"/>
      <x:c r="K268" s="5" t="e">
        <x:f>Tabela1[[#This Row],[Estoque total]]-Tabela1[[#This Row],[Consumo]]</x:f>
        <x:v>#VALUE!</x:v>
      </x:c>
      <x:c r="L268" s="9" t="e">
        <x:f>(Tabela1[[#This Row],[Valor total]]/Tabela1[[#This Row],[Estoque total]])*Tabela1[[#This Row],[Consumo]]</x:f>
        <x:v>#VALUE!</x:v>
      </x:c>
    </x:row>
    <x:row r="269">
      <x:c r="A269" s="2" t="s">
        <x:v>536</x:v>
      </x:c>
      <x:c r="B269" s="2" t="s">
        <x:v>537</x:v>
      </x:c>
      <x:c r="C269" s="2" t="s">
        <x:v>14</x:v>
      </x:c>
      <x:c r="D269" s="2" t="s">
        <x:v>15</x:v>
      </x:c>
      <x:c r="E269" s="2" t="s">
        <x:v>16</x:v>
      </x:c>
      <x:c r="F269" s="2" t="s">
        <x:v>17</x:v>
      </x:c>
      <x:c r="G269" s="3">
        <x:v>130</x:v>
      </x:c>
      <x:c r="H269" s="2" t="s">
        <x:v>18</x:v>
      </x:c>
      <x:c r="I269" s="7">
        <x:v>637.66999999999996</x:v>
      </x:c>
      <x:c r="J269" s="2" t="n">
        <x:v>10</x:v>
      </x:c>
      <x:c r="K269" s="5" t="n">
        <x:f>Tabela1[[#This Row],[Estoque total]]-Tabela1[[#This Row],[Consumo]]</x:f>
        <x:v>120</x:v>
      </x:c>
      <x:c r="L269" s="9" t="n">
        <x:f>(Tabela1[[#This Row],[Valor total]]/Tabela1[[#This Row],[Estoque total]])*Tabela1[[#This Row],[Consumo]]</x:f>
        <x:v>49.051538461538456</x:v>
      </x:c>
    </x:row>
    <x:row r="270">
      <x:c r="A270" s="2" t="s">
        <x:v>538</x:v>
      </x:c>
      <x:c r="B270" s="2" t="s">
        <x:v>539</x:v>
      </x:c>
      <x:c r="C270" s="2" t="s">
        <x:v>14</x:v>
      </x:c>
      <x:c r="D270" s="2" t="s">
        <x:v>15</x:v>
      </x:c>
      <x:c r="E270" s="2" t="s">
        <x:v>16</x:v>
      </x:c>
      <x:c r="F270" s="2" t="s">
        <x:v>17</x:v>
      </x:c>
      <x:c r="G270" s="3">
        <x:v>2</x:v>
      </x:c>
      <x:c r="H270" s="2" t="s">
        <x:v>18</x:v>
      </x:c>
      <x:c r="I270" s="7">
        <x:v>10.6</x:v>
      </x:c>
      <x:c r="J270" s="2"/>
      <x:c r="K270" s="5" t="e">
        <x:f>Tabela1[[#This Row],[Estoque total]]-Tabela1[[#This Row],[Consumo]]</x:f>
        <x:v>#VALUE!</x:v>
      </x:c>
      <x:c r="L270" s="9" t="e">
        <x:f>(Tabela1[[#This Row],[Valor total]]/Tabela1[[#This Row],[Estoque total]])*Tabela1[[#This Row],[Consumo]]</x:f>
        <x:v>#VALUE!</x:v>
      </x:c>
    </x:row>
    <x:row r="271">
      <x:c r="A271" s="2" t="s">
        <x:v>540</x:v>
      </x:c>
      <x:c r="B271" s="2" t="s">
        <x:v>541</x:v>
      </x:c>
      <x:c r="C271" s="2" t="s">
        <x:v>14</x:v>
      </x:c>
      <x:c r="D271" s="2" t="s">
        <x:v>15</x:v>
      </x:c>
      <x:c r="E271" s="2" t="s">
        <x:v>16</x:v>
      </x:c>
      <x:c r="F271" s="2" t="s">
        <x:v>17</x:v>
      </x:c>
      <x:c r="G271" s="3">
        <x:v>2</x:v>
      </x:c>
      <x:c r="H271" s="2" t="s">
        <x:v>18</x:v>
      </x:c>
      <x:c r="I271" s="7">
        <x:v>2.5</x:v>
      </x:c>
      <x:c r="J271" s="2"/>
      <x:c r="K271" s="5" t="e">
        <x:f>Tabela1[[#This Row],[Estoque total]]-Tabela1[[#This Row],[Consumo]]</x:f>
        <x:v>#VALUE!</x:v>
      </x:c>
      <x:c r="L271" s="9" t="e">
        <x:f>(Tabela1[[#This Row],[Valor total]]/Tabela1[[#This Row],[Estoque total]])*Tabela1[[#This Row],[Consumo]]</x:f>
        <x:v>#VALUE!</x:v>
      </x:c>
    </x:row>
    <x:row r="272">
      <x:c r="A272" s="2" t="s">
        <x:v>542</x:v>
      </x:c>
      <x:c r="B272" s="2" t="s">
        <x:v>543</x:v>
      </x:c>
      <x:c r="C272" s="2" t="s">
        <x:v>14</x:v>
      </x:c>
      <x:c r="D272" s="2" t="s">
        <x:v>15</x:v>
      </x:c>
      <x:c r="E272" s="2" t="s">
        <x:v>16</x:v>
      </x:c>
      <x:c r="F272" s="2" t="s">
        <x:v>17</x:v>
      </x:c>
      <x:c r="G272" s="3">
        <x:v>620</x:v>
      </x:c>
      <x:c r="H272" s="2" t="s">
        <x:v>544</x:v>
      </x:c>
      <x:c r="I272" s="7">
        <x:v>1302</x:v>
      </x:c>
      <x:c r="J272" s="2"/>
      <x:c r="K272" s="5" t="e">
        <x:f>Tabela1[[#This Row],[Estoque total]]-Tabela1[[#This Row],[Consumo]]</x:f>
        <x:v>#VALUE!</x:v>
      </x:c>
      <x:c r="L272" s="9" t="e">
        <x:f>(Tabela1[[#This Row],[Valor total]]/Tabela1[[#This Row],[Estoque total]])*Tabela1[[#This Row],[Consumo]]</x:f>
        <x:v>#VALUE!</x:v>
      </x:c>
    </x:row>
    <x:row r="273">
      <x:c r="A273" s="2" t="s">
        <x:v>545</x:v>
      </x:c>
      <x:c r="B273" s="2" t="s">
        <x:v>546</x:v>
      </x:c>
      <x:c r="C273" s="2" t="s">
        <x:v>14</x:v>
      </x:c>
      <x:c r="D273" s="2" t="s">
        <x:v>15</x:v>
      </x:c>
      <x:c r="E273" s="2" t="s">
        <x:v>16</x:v>
      </x:c>
      <x:c r="F273" s="2" t="s">
        <x:v>17</x:v>
      </x:c>
      <x:c r="G273" s="3">
        <x:v>23446</x:v>
      </x:c>
      <x:c r="H273" s="2" t="s">
        <x:v>544</x:v>
      </x:c>
      <x:c r="I273" s="7">
        <x:v>204450.12</x:v>
      </x:c>
      <x:c r="J273" s="2"/>
      <x:c r="K273" s="5" t="e">
        <x:f>Tabela1[[#This Row],[Estoque total]]-Tabela1[[#This Row],[Consumo]]</x:f>
        <x:v>#VALUE!</x:v>
      </x:c>
      <x:c r="L273" s="9" t="e">
        <x:f>(Tabela1[[#This Row],[Valor total]]/Tabela1[[#This Row],[Estoque total]])*Tabela1[[#This Row],[Consumo]]</x:f>
        <x:v>#VALUE!</x:v>
      </x:c>
    </x:row>
    <x:row r="274">
      <x:c r="A274" s="2" t="s">
        <x:v>547</x:v>
      </x:c>
      <x:c r="B274" s="2" t="s">
        <x:v>548</x:v>
      </x:c>
      <x:c r="C274" s="2" t="s">
        <x:v>14</x:v>
      </x:c>
      <x:c r="D274" s="2" t="s">
        <x:v>15</x:v>
      </x:c>
      <x:c r="E274" s="2" t="s">
        <x:v>16</x:v>
      </x:c>
      <x:c r="F274" s="2" t="s">
        <x:v>17</x:v>
      </x:c>
      <x:c r="G274" s="3">
        <x:v>194</x:v>
      </x:c>
      <x:c r="H274" s="2" t="s">
        <x:v>544</x:v>
      </x:c>
      <x:c r="I274" s="7">
        <x:v>4225.32</x:v>
      </x:c>
      <x:c r="J274" s="2"/>
      <x:c r="K274" s="5" t="e">
        <x:f>Tabela1[[#This Row],[Estoque total]]-Tabela1[[#This Row],[Consumo]]</x:f>
        <x:v>#VALUE!</x:v>
      </x:c>
      <x:c r="L274" s="9" t="e">
        <x:f>(Tabela1[[#This Row],[Valor total]]/Tabela1[[#This Row],[Estoque total]])*Tabela1[[#This Row],[Consumo]]</x:f>
        <x:v>#VALUE!</x:v>
      </x:c>
    </x:row>
    <x:row r="275">
      <x:c r="A275" s="2" t="s">
        <x:v>549</x:v>
      </x:c>
      <x:c r="B275" s="2" t="s">
        <x:v>550</x:v>
      </x:c>
      <x:c r="C275" s="2" t="s">
        <x:v>14</x:v>
      </x:c>
      <x:c r="D275" s="2" t="s">
        <x:v>15</x:v>
      </x:c>
      <x:c r="E275" s="2" t="s">
        <x:v>16</x:v>
      </x:c>
      <x:c r="F275" s="2" t="s">
        <x:v>17</x:v>
      </x:c>
      <x:c r="G275" s="3">
        <x:v>1100</x:v>
      </x:c>
      <x:c r="H275" s="2" t="s">
        <x:v>544</x:v>
      </x:c>
      <x:c r="I275" s="7">
        <x:v>15169</x:v>
      </x:c>
      <x:c r="J275" s="2"/>
      <x:c r="K275" s="5" t="e">
        <x:f>Tabela1[[#This Row],[Estoque total]]-Tabela1[[#This Row],[Consumo]]</x:f>
        <x:v>#VALUE!</x:v>
      </x:c>
      <x:c r="L275" s="9" t="e">
        <x:f>(Tabela1[[#This Row],[Valor total]]/Tabela1[[#This Row],[Estoque total]])*Tabela1[[#This Row],[Consumo]]</x:f>
        <x:v>#VALUE!</x:v>
      </x:c>
    </x:row>
    <x:row r="276">
      <x:c r="A276" s="2" t="s">
        <x:v>551</x:v>
      </x:c>
      <x:c r="B276" s="2" t="s">
        <x:v>552</x:v>
      </x:c>
      <x:c r="C276" s="2" t="s">
        <x:v>14</x:v>
      </x:c>
      <x:c r="D276" s="2" t="s">
        <x:v>15</x:v>
      </x:c>
      <x:c r="E276" s="2" t="s">
        <x:v>16</x:v>
      </x:c>
      <x:c r="F276" s="2" t="s">
        <x:v>17</x:v>
      </x:c>
      <x:c r="G276" s="3">
        <x:v>300</x:v>
      </x:c>
      <x:c r="H276" s="2" t="s">
        <x:v>18</x:v>
      </x:c>
      <x:c r="I276" s="7">
        <x:v>1266</x:v>
      </x:c>
      <x:c r="J276" s="2"/>
      <x:c r="K276" s="5" t="e">
        <x:f>Tabela1[[#This Row],[Estoque total]]-Tabela1[[#This Row],[Consumo]]</x:f>
        <x:v>#VALUE!</x:v>
      </x:c>
      <x:c r="L276" s="9" t="e">
        <x:f>(Tabela1[[#This Row],[Valor total]]/Tabela1[[#This Row],[Estoque total]])*Tabela1[[#This Row],[Consumo]]</x:f>
        <x:v>#VALUE!</x:v>
      </x:c>
    </x:row>
    <x:row r="277">
      <x:c r="A277" s="2" t="s">
        <x:v>553</x:v>
      </x:c>
      <x:c r="B277" s="2" t="s">
        <x:v>554</x:v>
      </x:c>
      <x:c r="C277" s="2" t="s">
        <x:v>14</x:v>
      </x:c>
      <x:c r="D277" s="2" t="s">
        <x:v>15</x:v>
      </x:c>
      <x:c r="E277" s="2" t="s">
        <x:v>16</x:v>
      </x:c>
      <x:c r="F277" s="2" t="s">
        <x:v>17</x:v>
      </x:c>
      <x:c r="G277" s="3">
        <x:v>18863</x:v>
      </x:c>
      <x:c r="H277" s="2" t="s">
        <x:v>544</x:v>
      </x:c>
      <x:c r="I277" s="7">
        <x:v>241895.78</x:v>
      </x:c>
      <x:c r="J277" s="2"/>
      <x:c r="K277" s="5" t="e">
        <x:f>Tabela1[[#This Row],[Estoque total]]-Tabela1[[#This Row],[Consumo]]</x:f>
        <x:v>#VALUE!</x:v>
      </x:c>
      <x:c r="L277" s="9" t="e">
        <x:f>(Tabela1[[#This Row],[Valor total]]/Tabela1[[#This Row],[Estoque total]])*Tabela1[[#This Row],[Consumo]]</x:f>
        <x:v>#VALUE!</x:v>
      </x:c>
    </x:row>
    <x:row r="278">
      <x:c r="A278" s="2" t="s">
        <x:v>555</x:v>
      </x:c>
      <x:c r="B278" s="2" t="s">
        <x:v>556</x:v>
      </x:c>
      <x:c r="C278" s="2" t="s">
        <x:v>14</x:v>
      </x:c>
      <x:c r="D278" s="2" t="s">
        <x:v>15</x:v>
      </x:c>
      <x:c r="E278" s="2" t="s">
        <x:v>16</x:v>
      </x:c>
      <x:c r="F278" s="2" t="s">
        <x:v>17</x:v>
      </x:c>
      <x:c r="G278" s="3">
        <x:v>6682</x:v>
      </x:c>
      <x:c r="H278" s="2" t="s">
        <x:v>544</x:v>
      </x:c>
      <x:c r="I278" s="7">
        <x:v>14723.34</x:v>
      </x:c>
      <x:c r="J278" s="2"/>
      <x:c r="K278" s="5" t="e">
        <x:f>Tabela1[[#This Row],[Estoque total]]-Tabela1[[#This Row],[Consumo]]</x:f>
        <x:v>#VALUE!</x:v>
      </x:c>
      <x:c r="L278" s="9" t="e">
        <x:f>(Tabela1[[#This Row],[Valor total]]/Tabela1[[#This Row],[Estoque total]])*Tabela1[[#This Row],[Consumo]]</x:f>
        <x:v>#VALUE!</x:v>
      </x:c>
    </x:row>
    <x:row r="279">
      <x:c r="A279" s="2" t="s">
        <x:v>557</x:v>
      </x:c>
      <x:c r="B279" s="2" t="s">
        <x:v>558</x:v>
      </x:c>
      <x:c r="C279" s="2" t="s">
        <x:v>14</x:v>
      </x:c>
      <x:c r="D279" s="2" t="s">
        <x:v>15</x:v>
      </x:c>
      <x:c r="E279" s="2" t="s">
        <x:v>16</x:v>
      </x:c>
      <x:c r="F279" s="2" t="s">
        <x:v>17</x:v>
      </x:c>
      <x:c r="G279" s="3">
        <x:v>2064</x:v>
      </x:c>
      <x:c r="H279" s="2" t="s">
        <x:v>544</x:v>
      </x:c>
      <x:c r="I279" s="7">
        <x:v>1527.36</x:v>
      </x:c>
      <x:c r="J279" s="2" t="n">
        <x:v>5</x:v>
      </x:c>
      <x:c r="K279" s="5" t="n">
        <x:f>Tabela1[[#This Row],[Estoque total]]-Tabela1[[#This Row],[Consumo]]</x:f>
        <x:v>2059</x:v>
      </x:c>
      <x:c r="L279" s="9" t="n">
        <x:f>(Tabela1[[#This Row],[Valor total]]/Tabela1[[#This Row],[Estoque total]])*Tabela1[[#This Row],[Consumo]]</x:f>
        <x:v>3.7</x:v>
      </x:c>
    </x:row>
    <x:row r="280">
      <x:c r="A280" s="2" t="s">
        <x:v>559</x:v>
      </x:c>
      <x:c r="B280" s="2" t="s">
        <x:v>560</x:v>
      </x:c>
      <x:c r="C280" s="2" t="s">
        <x:v>14</x:v>
      </x:c>
      <x:c r="D280" s="2" t="s">
        <x:v>15</x:v>
      </x:c>
      <x:c r="E280" s="2" t="s">
        <x:v>16</x:v>
      </x:c>
      <x:c r="F280" s="2" t="s">
        <x:v>17</x:v>
      </x:c>
      <x:c r="G280" s="3">
        <x:v>18200</x:v>
      </x:c>
      <x:c r="H280" s="2" t="s">
        <x:v>544</x:v>
      </x:c>
      <x:c r="I280" s="7">
        <x:v>49322</x:v>
      </x:c>
      <x:c r="J280" s="2"/>
      <x:c r="K280" s="5" t="e">
        <x:f>Tabela1[[#This Row],[Estoque total]]-Tabela1[[#This Row],[Consumo]]</x:f>
        <x:v>#VALUE!</x:v>
      </x:c>
      <x:c r="L280" s="9" t="e">
        <x:f>(Tabela1[[#This Row],[Valor total]]/Tabela1[[#This Row],[Estoque total]])*Tabela1[[#This Row],[Consumo]]</x:f>
        <x:v>#VALUE!</x:v>
      </x:c>
    </x:row>
    <x:row r="281">
      <x:c r="A281" s="2" t="s">
        <x:v>561</x:v>
      </x:c>
      <x:c r="B281" s="2" t="s">
        <x:v>562</x:v>
      </x:c>
      <x:c r="C281" s="2" t="s">
        <x:v>14</x:v>
      </x:c>
      <x:c r="D281" s="2" t="s">
        <x:v>15</x:v>
      </x:c>
      <x:c r="E281" s="2" t="s">
        <x:v>16</x:v>
      </x:c>
      <x:c r="F281" s="2" t="s">
        <x:v>17</x:v>
      </x:c>
      <x:c r="G281" s="3">
        <x:v>77</x:v>
      </x:c>
      <x:c r="H281" s="2" t="s">
        <x:v>18</x:v>
      </x:c>
      <x:c r="I281" s="7">
        <x:v>296.45</x:v>
      </x:c>
      <x:c r="J281" s="2"/>
      <x:c r="K281" s="5" t="e">
        <x:f>Tabela1[[#This Row],[Estoque total]]-Tabela1[[#This Row],[Consumo]]</x:f>
        <x:v>#VALUE!</x:v>
      </x:c>
      <x:c r="L281" s="9" t="e">
        <x:f>(Tabela1[[#This Row],[Valor total]]/Tabela1[[#This Row],[Estoque total]])*Tabela1[[#This Row],[Consumo]]</x:f>
        <x:v>#VALUE!</x:v>
      </x:c>
    </x:row>
    <x:row r="282">
      <x:c r="A282" s="2" t="s">
        <x:v>563</x:v>
      </x:c>
      <x:c r="B282" s="2" t="s">
        <x:v>564</x:v>
      </x:c>
      <x:c r="C282" s="2" t="s">
        <x:v>14</x:v>
      </x:c>
      <x:c r="D282" s="2" t="s">
        <x:v>15</x:v>
      </x:c>
      <x:c r="E282" s="2" t="s">
        <x:v>16</x:v>
      </x:c>
      <x:c r="F282" s="2" t="s">
        <x:v>17</x:v>
      </x:c>
      <x:c r="G282" s="3">
        <x:v>84</x:v>
      </x:c>
      <x:c r="H282" s="2" t="s">
        <x:v>18</x:v>
      </x:c>
      <x:c r="I282" s="7">
        <x:v>416.64</x:v>
      </x:c>
      <x:c r="J282" s="2"/>
      <x:c r="K282" s="5" t="e">
        <x:f>Tabela1[[#This Row],[Estoque total]]-Tabela1[[#This Row],[Consumo]]</x:f>
        <x:v>#VALUE!</x:v>
      </x:c>
      <x:c r="L282" s="9" t="e">
        <x:f>(Tabela1[[#This Row],[Valor total]]/Tabela1[[#This Row],[Estoque total]])*Tabela1[[#This Row],[Consumo]]</x:f>
        <x:v>#VALUE!</x:v>
      </x:c>
    </x:row>
    <x:row r="283">
      <x:c r="A283" s="2" t="s">
        <x:v>565</x:v>
      </x:c>
      <x:c r="B283" s="2" t="s">
        <x:v>566</x:v>
      </x:c>
      <x:c r="C283" s="2" t="s">
        <x:v>14</x:v>
      </x:c>
      <x:c r="D283" s="2" t="s">
        <x:v>15</x:v>
      </x:c>
      <x:c r="E283" s="2" t="s">
        <x:v>16</x:v>
      </x:c>
      <x:c r="F283" s="2" t="s">
        <x:v>31</x:v>
      </x:c>
      <x:c r="G283" s="3">
        <x:v>6</x:v>
      </x:c>
      <x:c r="H283" s="2" t="s">
        <x:v>18</x:v>
      </x:c>
      <x:c r="I283" s="7">
        <x:v>41.7</x:v>
      </x:c>
      <x:c r="J283" s="2"/>
      <x:c r="K283" s="5" t="e">
        <x:f>Tabela1[[#This Row],[Estoque total]]-Tabela1[[#This Row],[Consumo]]</x:f>
        <x:v>#VALUE!</x:v>
      </x:c>
      <x:c r="L283" s="9" t="e">
        <x:f>(Tabela1[[#This Row],[Valor total]]/Tabela1[[#This Row],[Estoque total]])*Tabela1[[#This Row],[Consumo]]</x:f>
        <x:v>#VALUE!</x:v>
      </x:c>
    </x:row>
    <x:row r="284">
      <x:c r="A284" s="2" t="s">
        <x:v>565</x:v>
      </x:c>
      <x:c r="B284" s="2" t="s">
        <x:v>566</x:v>
      </x:c>
      <x:c r="C284" s="2" t="s">
        <x:v>14</x:v>
      </x:c>
      <x:c r="D284" s="2" t="s">
        <x:v>15</x:v>
      </x:c>
      <x:c r="E284" s="2" t="s">
        <x:v>16</x:v>
      </x:c>
      <x:c r="F284" s="2" t="s">
        <x:v>17</x:v>
      </x:c>
      <x:c r="G284" s="3">
        <x:v>180</x:v>
      </x:c>
      <x:c r="H284" s="2" t="s">
        <x:v>18</x:v>
      </x:c>
      <x:c r="I284" s="7">
        <x:v>1251</x:v>
      </x:c>
      <x:c r="J284" s="2" t="n">
        <x:v>1</x:v>
      </x:c>
      <x:c r="K284" s="5" t="n">
        <x:f>Tabela1[[#This Row],[Estoque total]]-Tabela1[[#This Row],[Consumo]]</x:f>
        <x:v>179</x:v>
      </x:c>
      <x:c r="L284" s="9" t="n">
        <x:f>(Tabela1[[#This Row],[Valor total]]/Tabela1[[#This Row],[Estoque total]])*Tabela1[[#This Row],[Consumo]]</x:f>
        <x:v>6.95</x:v>
      </x:c>
    </x:row>
    <x:row r="285">
      <x:c r="A285" s="2" t="s">
        <x:v>567</x:v>
      </x:c>
      <x:c r="B285" s="2" t="s">
        <x:v>568</x:v>
      </x:c>
      <x:c r="C285" s="2" t="s">
        <x:v>14</x:v>
      </x:c>
      <x:c r="D285" s="2" t="s">
        <x:v>15</x:v>
      </x:c>
      <x:c r="E285" s="2" t="s">
        <x:v>16</x:v>
      </x:c>
      <x:c r="F285" s="2" t="s">
        <x:v>31</x:v>
      </x:c>
      <x:c r="G285" s="3">
        <x:v>24</x:v>
      </x:c>
      <x:c r="H285" s="2" t="s">
        <x:v>18</x:v>
      </x:c>
      <x:c r="I285" s="7">
        <x:v>18.239999999999998</x:v>
      </x:c>
      <x:c r="J285" s="2"/>
      <x:c r="K285" s="5" t="e">
        <x:f>Tabela1[[#This Row],[Estoque total]]-Tabela1[[#This Row],[Consumo]]</x:f>
        <x:v>#VALUE!</x:v>
      </x:c>
      <x:c r="L285" s="9" t="e">
        <x:f>(Tabela1[[#This Row],[Valor total]]/Tabela1[[#This Row],[Estoque total]])*Tabela1[[#This Row],[Consumo]]</x:f>
        <x:v>#VALUE!</x:v>
      </x:c>
    </x:row>
    <x:row r="286">
      <x:c r="A286" s="2" t="s">
        <x:v>569</x:v>
      </x:c>
      <x:c r="B286" s="2" t="s">
        <x:v>570</x:v>
      </x:c>
      <x:c r="C286" s="2" t="s">
        <x:v>14</x:v>
      </x:c>
      <x:c r="D286" s="2" t="s">
        <x:v>15</x:v>
      </x:c>
      <x:c r="E286" s="2" t="s">
        <x:v>16</x:v>
      </x:c>
      <x:c r="F286" s="2" t="s">
        <x:v>31</x:v>
      </x:c>
      <x:c r="G286" s="3">
        <x:v>3</x:v>
      </x:c>
      <x:c r="H286" s="2" t="s">
        <x:v>18</x:v>
      </x:c>
      <x:c r="I286" s="7">
        <x:v>109.47</x:v>
      </x:c>
      <x:c r="J286" s="2"/>
      <x:c r="K286" s="5" t="e">
        <x:f>Tabela1[[#This Row],[Estoque total]]-Tabela1[[#This Row],[Consumo]]</x:f>
        <x:v>#VALUE!</x:v>
      </x:c>
      <x:c r="L286" s="9" t="e">
        <x:f>(Tabela1[[#This Row],[Valor total]]/Tabela1[[#This Row],[Estoque total]])*Tabela1[[#This Row],[Consumo]]</x:f>
        <x:v>#VALUE!</x:v>
      </x:c>
    </x:row>
    <x:row r="287">
      <x:c r="A287" s="2" t="s">
        <x:v>571</x:v>
      </x:c>
      <x:c r="B287" s="2" t="s">
        <x:v>572</x:v>
      </x:c>
      <x:c r="C287" s="2" t="s">
        <x:v>14</x:v>
      </x:c>
      <x:c r="D287" s="2" t="s">
        <x:v>15</x:v>
      </x:c>
      <x:c r="E287" s="2" t="s">
        <x:v>16</x:v>
      </x:c>
      <x:c r="F287" s="2" t="s">
        <x:v>31</x:v>
      </x:c>
      <x:c r="G287" s="3">
        <x:v>2</x:v>
      </x:c>
      <x:c r="H287" s="2" t="s">
        <x:v>18</x:v>
      </x:c>
      <x:c r="I287" s="7">
        <x:v>9.6</x:v>
      </x:c>
      <x:c r="J287" s="2"/>
      <x:c r="K287" s="5" t="e">
        <x:f>Tabela1[[#This Row],[Estoque total]]-Tabela1[[#This Row],[Consumo]]</x:f>
        <x:v>#VALUE!</x:v>
      </x:c>
      <x:c r="L287" s="9" t="e">
        <x:f>(Tabela1[[#This Row],[Valor total]]/Tabela1[[#This Row],[Estoque total]])*Tabela1[[#This Row],[Consumo]]</x:f>
        <x:v>#VALUE!</x:v>
      </x:c>
    </x:row>
    <x:row r="288">
      <x:c r="A288" s="2" t="s">
        <x:v>573</x:v>
      </x:c>
      <x:c r="B288" s="2" t="s">
        <x:v>572</x:v>
      </x:c>
      <x:c r="C288" s="2" t="s">
        <x:v>14</x:v>
      </x:c>
      <x:c r="D288" s="2" t="s">
        <x:v>15</x:v>
      </x:c>
      <x:c r="E288" s="2" t="s">
        <x:v>16</x:v>
      </x:c>
      <x:c r="F288" s="2" t="s">
        <x:v>17</x:v>
      </x:c>
      <x:c r="G288" s="3">
        <x:v>1</x:v>
      </x:c>
      <x:c r="H288" s="2" t="s">
        <x:v>18</x:v>
      </x:c>
      <x:c r="I288" s="7">
        <x:v>4.8</x:v>
      </x:c>
      <x:c r="J288" s="2" t="n">
        <x:v>1</x:v>
      </x:c>
      <x:c r="K288" s="5" t="n">
        <x:f>Tabela1[[#This Row],[Estoque total]]-Tabela1[[#This Row],[Consumo]]</x:f>
        <x:v>0</x:v>
      </x:c>
      <x:c r="L288" s="9" t="n">
        <x:f>(Tabela1[[#This Row],[Valor total]]/Tabela1[[#This Row],[Estoque total]])*Tabela1[[#This Row],[Consumo]]</x:f>
        <x:v>4.8</x:v>
      </x:c>
    </x:row>
    <x:row r="289">
      <x:c r="A289" s="2" t="s">
        <x:v>574</x:v>
      </x:c>
      <x:c r="B289" s="2" t="s">
        <x:v>575</x:v>
      </x:c>
      <x:c r="C289" s="2" t="s">
        <x:v>14</x:v>
      </x:c>
      <x:c r="D289" s="2" t="s">
        <x:v>15</x:v>
      </x:c>
      <x:c r="E289" s="2" t="s">
        <x:v>16</x:v>
      </x:c>
      <x:c r="F289" s="2" t="s">
        <x:v>17</x:v>
      </x:c>
      <x:c r="G289" s="3">
        <x:v>10</x:v>
      </x:c>
      <x:c r="H289" s="2" t="s">
        <x:v>18</x:v>
      </x:c>
      <x:c r="I289" s="7">
        <x:v>10</x:v>
      </x:c>
      <x:c r="J289" s="2"/>
      <x:c r="K289" s="5" t="e">
        <x:f>Tabela1[[#This Row],[Estoque total]]-Tabela1[[#This Row],[Consumo]]</x:f>
        <x:v>#VALUE!</x:v>
      </x:c>
      <x:c r="L289" s="9" t="e">
        <x:f>(Tabela1[[#This Row],[Valor total]]/Tabela1[[#This Row],[Estoque total]])*Tabela1[[#This Row],[Consumo]]</x:f>
        <x:v>#VALUE!</x:v>
      </x:c>
    </x:row>
    <x:row r="290">
      <x:c r="A290" s="2" t="s">
        <x:v>576</x:v>
      </x:c>
      <x:c r="B290" s="2" t="s">
        <x:v>577</x:v>
      </x:c>
      <x:c r="C290" s="2" t="s">
        <x:v>14</x:v>
      </x:c>
      <x:c r="D290" s="2" t="s">
        <x:v>15</x:v>
      </x:c>
      <x:c r="E290" s="2" t="s">
        <x:v>16</x:v>
      </x:c>
      <x:c r="F290" s="2" t="s">
        <x:v>17</x:v>
      </x:c>
      <x:c r="G290" s="3">
        <x:v>114</x:v>
      </x:c>
      <x:c r="H290" s="2" t="s">
        <x:v>18</x:v>
      </x:c>
      <x:c r="I290" s="7">
        <x:v>381.2</x:v>
      </x:c>
      <x:c r="J290" s="2"/>
      <x:c r="K290" s="5" t="e">
        <x:f>Tabela1[[#This Row],[Estoque total]]-Tabela1[[#This Row],[Consumo]]</x:f>
        <x:v>#VALUE!</x:v>
      </x:c>
      <x:c r="L290" s="9" t="e">
        <x:f>(Tabela1[[#This Row],[Valor total]]/Tabela1[[#This Row],[Estoque total]])*Tabela1[[#This Row],[Consumo]]</x:f>
        <x:v>#VALUE!</x:v>
      </x:c>
    </x:row>
    <x:row r="291">
      <x:c r="A291" s="2" t="s">
        <x:v>578</x:v>
      </x:c>
      <x:c r="B291" s="2" t="s">
        <x:v>579</x:v>
      </x:c>
      <x:c r="C291" s="2" t="s">
        <x:v>14</x:v>
      </x:c>
      <x:c r="D291" s="2" t="s">
        <x:v>15</x:v>
      </x:c>
      <x:c r="E291" s="2" t="s">
        <x:v>16</x:v>
      </x:c>
      <x:c r="F291" s="2" t="s">
        <x:v>31</x:v>
      </x:c>
      <x:c r="G291" s="3">
        <x:v>44.9</x:v>
      </x:c>
      <x:c r="H291" s="2" t="s">
        <x:v>18</x:v>
      </x:c>
      <x:c r="I291" s="7">
        <x:v>96.21</x:v>
      </x:c>
      <x:c r="J291" s="2"/>
      <x:c r="K291" s="5" t="e">
        <x:f>Tabela1[[#This Row],[Estoque total]]-Tabela1[[#This Row],[Consumo]]</x:f>
        <x:v>#VALUE!</x:v>
      </x:c>
      <x:c r="L291" s="9" t="e">
        <x:f>(Tabela1[[#This Row],[Valor total]]/Tabela1[[#This Row],[Estoque total]])*Tabela1[[#This Row],[Consumo]]</x:f>
        <x:v>#VALUE!</x:v>
      </x:c>
    </x:row>
    <x:row r="292">
      <x:c r="A292" s="2" t="s">
        <x:v>580</x:v>
      </x:c>
      <x:c r="B292" s="2" t="s">
        <x:v>581</x:v>
      </x:c>
      <x:c r="C292" s="2" t="s">
        <x:v>14</x:v>
      </x:c>
      <x:c r="D292" s="2" t="s">
        <x:v>15</x:v>
      </x:c>
      <x:c r="E292" s="2" t="s">
        <x:v>16</x:v>
      </x:c>
      <x:c r="F292" s="2" t="s">
        <x:v>17</x:v>
      </x:c>
      <x:c r="G292" s="3">
        <x:v>68</x:v>
      </x:c>
      <x:c r="H292" s="2" t="s">
        <x:v>18</x:v>
      </x:c>
      <x:c r="I292" s="7">
        <x:v>2006</x:v>
      </x:c>
      <x:c r="J292" s="2"/>
      <x:c r="K292" s="5" t="e">
        <x:f>Tabela1[[#This Row],[Estoque total]]-Tabela1[[#This Row],[Consumo]]</x:f>
        <x:v>#VALUE!</x:v>
      </x:c>
      <x:c r="L292" s="9" t="e">
        <x:f>(Tabela1[[#This Row],[Valor total]]/Tabela1[[#This Row],[Estoque total]])*Tabela1[[#This Row],[Consumo]]</x:f>
        <x:v>#VALUE!</x:v>
      </x:c>
    </x:row>
    <x:row r="293">
      <x:c r="A293" s="2" t="s">
        <x:v>582</x:v>
      </x:c>
      <x:c r="B293" s="2" t="s">
        <x:v>583</x:v>
      </x:c>
      <x:c r="C293" s="2" t="s">
        <x:v>14</x:v>
      </x:c>
      <x:c r="D293" s="2" t="s">
        <x:v>15</x:v>
      </x:c>
      <x:c r="E293" s="2" t="s">
        <x:v>16</x:v>
      </x:c>
      <x:c r="F293" s="2" t="s">
        <x:v>17</x:v>
      </x:c>
      <x:c r="G293" s="3">
        <x:v>50</x:v>
      </x:c>
      <x:c r="H293" s="2" t="s">
        <x:v>18</x:v>
      </x:c>
      <x:c r="I293" s="7">
        <x:v>389</x:v>
      </x:c>
      <x:c r="J293" s="2"/>
      <x:c r="K293" s="5" t="e">
        <x:f>Tabela1[[#This Row],[Estoque total]]-Tabela1[[#This Row],[Consumo]]</x:f>
        <x:v>#VALUE!</x:v>
      </x:c>
      <x:c r="L293" s="9" t="e">
        <x:f>(Tabela1[[#This Row],[Valor total]]/Tabela1[[#This Row],[Estoque total]])*Tabela1[[#This Row],[Consumo]]</x:f>
        <x:v>#VALUE!</x:v>
      </x:c>
    </x:row>
    <x:row r="294">
      <x:c r="A294" s="2" t="s">
        <x:v>584</x:v>
      </x:c>
      <x:c r="B294" s="2" t="s">
        <x:v>585</x:v>
      </x:c>
      <x:c r="C294" s="2" t="s">
        <x:v>586</x:v>
      </x:c>
      <x:c r="D294" s="2" t="s">
        <x:v>15</x:v>
      </x:c>
      <x:c r="E294" s="2" t="s">
        <x:v>16</x:v>
      </x:c>
      <x:c r="F294" s="2" t="s">
        <x:v>31</x:v>
      </x:c>
      <x:c r="G294" s="3">
        <x:v>1</x:v>
      </x:c>
      <x:c r="H294" s="2" t="s">
        <x:v>18</x:v>
      </x:c>
      <x:c r="I294" s="7">
        <x:v>0</x:v>
      </x:c>
      <x:c r="J294" s="2"/>
      <x:c r="K294" s="5" t="e">
        <x:f>Tabela1[[#This Row],[Estoque total]]-Tabela1[[#This Row],[Consumo]]</x:f>
        <x:v>#VALUE!</x:v>
      </x:c>
      <x:c r="L294" s="9" t="e">
        <x:f>(Tabela1[[#This Row],[Valor total]]/Tabela1[[#This Row],[Estoque total]])*Tabela1[[#This Row],[Consumo]]</x:f>
        <x:v>#VALUE!</x:v>
      </x:c>
    </x:row>
    <x:row r="295">
      <x:c r="A295" s="2" t="s">
        <x:v>587</x:v>
      </x:c>
      <x:c r="B295" s="2" t="s">
        <x:v>588</x:v>
      </x:c>
      <x:c r="C295" s="2" t="s">
        <x:v>589</x:v>
      </x:c>
      <x:c r="D295" s="2" t="s">
        <x:v>15</x:v>
      </x:c>
      <x:c r="E295" s="2" t="s">
        <x:v>16</x:v>
      </x:c>
      <x:c r="F295" s="2" t="s">
        <x:v>17</x:v>
      </x:c>
      <x:c r="G295" s="3">
        <x:v>1</x:v>
      </x:c>
      <x:c r="H295" s="2" t="s">
        <x:v>18</x:v>
      </x:c>
      <x:c r="I295" s="7">
        <x:v>0</x:v>
      </x:c>
      <x:c r="J295" s="2"/>
      <x:c r="K295" s="5" t="e">
        <x:f>Tabela1[[#This Row],[Estoque total]]-Tabela1[[#This Row],[Consumo]]</x:f>
        <x:v>#VALUE!</x:v>
      </x:c>
      <x:c r="L295" s="9" t="e">
        <x:f>(Tabela1[[#This Row],[Valor total]]/Tabela1[[#This Row],[Estoque total]])*Tabela1[[#This Row],[Consumo]]</x:f>
        <x:v>#VALUE!</x:v>
      </x:c>
    </x:row>
    <x:row r="296">
      <x:c r="A296" s="2" t="s">
        <x:v>590</x:v>
      </x:c>
      <x:c r="B296" s="2" t="s">
        <x:v>591</x:v>
      </x:c>
      <x:c r="C296" s="2" t="s">
        <x:v>592</x:v>
      </x:c>
      <x:c r="D296" s="2" t="s">
        <x:v>15</x:v>
      </x:c>
      <x:c r="E296" s="2" t="s">
        <x:v>16</x:v>
      </x:c>
      <x:c r="F296" s="2" t="s">
        <x:v>17</x:v>
      </x:c>
      <x:c r="G296" s="3">
        <x:v>1</x:v>
      </x:c>
      <x:c r="H296" s="2" t="s">
        <x:v>18</x:v>
      </x:c>
      <x:c r="I296" s="7">
        <x:v>0</x:v>
      </x:c>
      <x:c r="J296" s="2"/>
      <x:c r="K296" s="5" t="e">
        <x:f>Tabela1[[#This Row],[Estoque total]]-Tabela1[[#This Row],[Consumo]]</x:f>
        <x:v>#VALUE!</x:v>
      </x:c>
      <x:c r="L296" s="9" t="e">
        <x:f>(Tabela1[[#This Row],[Valor total]]/Tabela1[[#This Row],[Estoque total]])*Tabela1[[#This Row],[Consumo]]</x:f>
        <x:v>#VALUE!</x:v>
      </x:c>
    </x:row>
    <x:row r="297">
      <x:c r="A297" s="2" t="s">
        <x:v>593</x:v>
      </x:c>
      <x:c r="B297" s="2" t="s">
        <x:v>594</x:v>
      </x:c>
      <x:c r="C297" s="2" t="s">
        <x:v>14</x:v>
      </x:c>
      <x:c r="D297" s="2" t="s">
        <x:v>15</x:v>
      </x:c>
      <x:c r="E297" s="2" t="s">
        <x:v>16</x:v>
      </x:c>
      <x:c r="F297" s="2" t="s">
        <x:v>17</x:v>
      </x:c>
      <x:c r="G297" s="3">
        <x:v>42</x:v>
      </x:c>
      <x:c r="H297" s="2" t="s">
        <x:v>18</x:v>
      </x:c>
      <x:c r="I297" s="7">
        <x:v>34.86</x:v>
      </x:c>
      <x:c r="J297" s="2"/>
      <x:c r="K297" s="5" t="e">
        <x:f>Tabela1[[#This Row],[Estoque total]]-Tabela1[[#This Row],[Consumo]]</x:f>
        <x:v>#VALUE!</x:v>
      </x:c>
      <x:c r="L297" s="9" t="e">
        <x:f>(Tabela1[[#This Row],[Valor total]]/Tabela1[[#This Row],[Estoque total]])*Tabela1[[#This Row],[Consumo]]</x:f>
        <x:v>#VALUE!</x:v>
      </x:c>
    </x:row>
    <x:row r="298">
      <x:c r="A298" s="2" t="s">
        <x:v>595</x:v>
      </x:c>
      <x:c r="B298" s="2" t="s">
        <x:v>596</x:v>
      </x:c>
      <x:c r="C298" s="2" t="s">
        <x:v>14</x:v>
      </x:c>
      <x:c r="D298" s="2" t="s">
        <x:v>15</x:v>
      </x:c>
      <x:c r="E298" s="2" t="s">
        <x:v>16</x:v>
      </x:c>
      <x:c r="F298" s="2" t="s">
        <x:v>31</x:v>
      </x:c>
      <x:c r="G298" s="3">
        <x:v>250</x:v>
      </x:c>
      <x:c r="H298" s="2" t="s">
        <x:v>544</x:v>
      </x:c>
      <x:c r="I298" s="7">
        <x:v>675</x:v>
      </x:c>
      <x:c r="J298" s="2"/>
      <x:c r="K298" s="5" t="e">
        <x:f>Tabela1[[#This Row],[Estoque total]]-Tabela1[[#This Row],[Consumo]]</x:f>
        <x:v>#VALUE!</x:v>
      </x:c>
      <x:c r="L298" s="9" t="e">
        <x:f>(Tabela1[[#This Row],[Valor total]]/Tabela1[[#This Row],[Estoque total]])*Tabela1[[#This Row],[Consumo]]</x:f>
        <x:v>#VALUE!</x:v>
      </x:c>
    </x:row>
    <x:row r="299">
      <x:c r="A299" s="2" t="s">
        <x:v>597</x:v>
      </x:c>
      <x:c r="B299" s="2" t="s">
        <x:v>598</x:v>
      </x:c>
      <x:c r="C299" s="2" t="s">
        <x:v>14</x:v>
      </x:c>
      <x:c r="D299" s="2" t="s">
        <x:v>15</x:v>
      </x:c>
      <x:c r="E299" s="2" t="s">
        <x:v>16</x:v>
      </x:c>
      <x:c r="F299" s="2" t="s">
        <x:v>31</x:v>
      </x:c>
      <x:c r="G299" s="3">
        <x:v>10</x:v>
      </x:c>
      <x:c r="H299" s="2" t="s">
        <x:v>544</x:v>
      </x:c>
      <x:c r="I299" s="7">
        <x:v>2.85</x:v>
      </x:c>
      <x:c r="J299" s="2"/>
      <x:c r="K299" s="5" t="e">
        <x:f>Tabela1[[#This Row],[Estoque total]]-Tabela1[[#This Row],[Consumo]]</x:f>
        <x:v>#VALUE!</x:v>
      </x:c>
      <x:c r="L299" s="9" t="e">
        <x:f>(Tabela1[[#This Row],[Valor total]]/Tabela1[[#This Row],[Estoque total]])*Tabela1[[#This Row],[Consumo]]</x:f>
        <x:v>#VALUE!</x:v>
      </x:c>
    </x:row>
    <x:row r="300">
      <x:c r="A300" s="2" t="s">
        <x:v>599</x:v>
      </x:c>
      <x:c r="B300" s="2" t="s">
        <x:v>600</x:v>
      </x:c>
      <x:c r="C300" s="2" t="s">
        <x:v>14</x:v>
      </x:c>
      <x:c r="D300" s="2" t="s">
        <x:v>15</x:v>
      </x:c>
      <x:c r="E300" s="2" t="s">
        <x:v>16</x:v>
      </x:c>
      <x:c r="F300" s="2" t="s">
        <x:v>31</x:v>
      </x:c>
      <x:c r="G300" s="3">
        <x:v>510</x:v>
      </x:c>
      <x:c r="H300" s="2" t="s">
        <x:v>544</x:v>
      </x:c>
      <x:c r="I300" s="7">
        <x:v>616.28</x:v>
      </x:c>
      <x:c r="J300" s="2"/>
      <x:c r="K300" s="5" t="e">
        <x:f>Tabela1[[#This Row],[Estoque total]]-Tabela1[[#This Row],[Consumo]]</x:f>
        <x:v>#VALUE!</x:v>
      </x:c>
      <x:c r="L300" s="9" t="e">
        <x:f>(Tabela1[[#This Row],[Valor total]]/Tabela1[[#This Row],[Estoque total]])*Tabela1[[#This Row],[Consumo]]</x:f>
        <x:v>#VALUE!</x:v>
      </x:c>
    </x:row>
    <x:row r="301">
      <x:c r="A301" s="2" t="s">
        <x:v>599</x:v>
      </x:c>
      <x:c r="B301" s="2" t="s">
        <x:v>600</x:v>
      </x:c>
      <x:c r="C301" s="2" t="s">
        <x:v>14</x:v>
      </x:c>
      <x:c r="D301" s="2" t="s">
        <x:v>15</x:v>
      </x:c>
      <x:c r="E301" s="2" t="s">
        <x:v>16</x:v>
      </x:c>
      <x:c r="F301" s="2" t="s">
        <x:v>17</x:v>
      </x:c>
      <x:c r="G301" s="3">
        <x:v>3834</x:v>
      </x:c>
      <x:c r="H301" s="2" t="s">
        <x:v>544</x:v>
      </x:c>
      <x:c r="I301" s="7">
        <x:v>4006.54</x:v>
      </x:c>
      <x:c r="J301" s="2"/>
      <x:c r="K301" s="5" t="e">
        <x:f>Tabela1[[#This Row],[Estoque total]]-Tabela1[[#This Row],[Consumo]]</x:f>
        <x:v>#VALUE!</x:v>
      </x:c>
      <x:c r="L301" s="9" t="e">
        <x:f>(Tabela1[[#This Row],[Valor total]]/Tabela1[[#This Row],[Estoque total]])*Tabela1[[#This Row],[Consumo]]</x:f>
        <x:v>#VALUE!</x:v>
      </x:c>
    </x:row>
    <x:row r="302">
      <x:c r="A302" s="2" t="s">
        <x:v>601</x:v>
      </x:c>
      <x:c r="B302" s="2" t="s">
        <x:v>602</x:v>
      </x:c>
      <x:c r="C302" s="2" t="s">
        <x:v>14</x:v>
      </x:c>
      <x:c r="D302" s="2" t="s">
        <x:v>15</x:v>
      </x:c>
      <x:c r="E302" s="2" t="s">
        <x:v>16</x:v>
      </x:c>
      <x:c r="F302" s="2" t="s">
        <x:v>31</x:v>
      </x:c>
      <x:c r="G302" s="3">
        <x:v>100</x:v>
      </x:c>
      <x:c r="H302" s="2" t="s">
        <x:v>544</x:v>
      </x:c>
      <x:c r="I302" s="7">
        <x:v>108</x:v>
      </x:c>
      <x:c r="J302" s="2"/>
      <x:c r="K302" s="5" t="e">
        <x:f>Tabela1[[#This Row],[Estoque total]]-Tabela1[[#This Row],[Consumo]]</x:f>
        <x:v>#VALUE!</x:v>
      </x:c>
      <x:c r="L302" s="9" t="e">
        <x:f>(Tabela1[[#This Row],[Valor total]]/Tabela1[[#This Row],[Estoque total]])*Tabela1[[#This Row],[Consumo]]</x:f>
        <x:v>#VALUE!</x:v>
      </x:c>
    </x:row>
    <x:row r="303">
      <x:c r="A303" s="2" t="s">
        <x:v>603</x:v>
      </x:c>
      <x:c r="B303" s="2" t="s">
        <x:v>604</x:v>
      </x:c>
      <x:c r="C303" s="2" t="s">
        <x:v>14</x:v>
      </x:c>
      <x:c r="D303" s="2" t="s">
        <x:v>15</x:v>
      </x:c>
      <x:c r="E303" s="2" t="s">
        <x:v>16</x:v>
      </x:c>
      <x:c r="F303" s="2" t="s">
        <x:v>31</x:v>
      </x:c>
      <x:c r="G303" s="3">
        <x:v>100</x:v>
      </x:c>
      <x:c r="H303" s="2" t="s">
        <x:v>544</x:v>
      </x:c>
      <x:c r="I303" s="7">
        <x:v>154.19999999999999</x:v>
      </x:c>
      <x:c r="J303" s="2"/>
      <x:c r="K303" s="5" t="e">
        <x:f>Tabela1[[#This Row],[Estoque total]]-Tabela1[[#This Row],[Consumo]]</x:f>
        <x:v>#VALUE!</x:v>
      </x:c>
      <x:c r="L303" s="9" t="e">
        <x:f>(Tabela1[[#This Row],[Valor total]]/Tabela1[[#This Row],[Estoque total]])*Tabela1[[#This Row],[Consumo]]</x:f>
        <x:v>#VALUE!</x:v>
      </x:c>
    </x:row>
    <x:row r="304">
      <x:c r="A304" s="2" t="s">
        <x:v>605</x:v>
      </x:c>
      <x:c r="B304" s="2" t="s">
        <x:v>606</x:v>
      </x:c>
      <x:c r="C304" s="2" t="s">
        <x:v>14</x:v>
      </x:c>
      <x:c r="D304" s="2" t="s">
        <x:v>15</x:v>
      </x:c>
      <x:c r="E304" s="2" t="s">
        <x:v>16</x:v>
      </x:c>
      <x:c r="F304" s="2" t="s">
        <x:v>17</x:v>
      </x:c>
      <x:c r="G304" s="3">
        <x:v>5</x:v>
      </x:c>
      <x:c r="H304" s="2" t="s">
        <x:v>18</x:v>
      </x:c>
      <x:c r="I304" s="7">
        <x:v>78</x:v>
      </x:c>
      <x:c r="J304" s="2" t="n">
        <x:v>5</x:v>
      </x:c>
      <x:c r="K304" s="5" t="n">
        <x:f>Tabela1[[#This Row],[Estoque total]]-Tabela1[[#This Row],[Consumo]]</x:f>
        <x:v>0</x:v>
      </x:c>
      <x:c r="L304" s="9" t="n">
        <x:f>(Tabela1[[#This Row],[Valor total]]/Tabela1[[#This Row],[Estoque total]])*Tabela1[[#This Row],[Consumo]]</x:f>
        <x:v>78</x:v>
      </x:c>
    </x:row>
    <x:row r="305">
      <x:c r="A305" s="2" t="s">
        <x:v>607</x:v>
      </x:c>
      <x:c r="B305" s="2" t="s">
        <x:v>608</x:v>
      </x:c>
      <x:c r="C305" s="2" t="s">
        <x:v>14</x:v>
      </x:c>
      <x:c r="D305" s="2" t="s">
        <x:v>15</x:v>
      </x:c>
      <x:c r="E305" s="2" t="s">
        <x:v>16</x:v>
      </x:c>
      <x:c r="F305" s="2" t="s">
        <x:v>17</x:v>
      </x:c>
      <x:c r="G305" s="3">
        <x:v>1</x:v>
      </x:c>
      <x:c r="H305" s="2" t="s">
        <x:v>18</x:v>
      </x:c>
      <x:c r="I305" s="7">
        <x:v>3988.6</x:v>
      </x:c>
      <x:c r="J305" s="2"/>
      <x:c r="K305" s="5" t="e">
        <x:f>Tabela1[[#This Row],[Estoque total]]-Tabela1[[#This Row],[Consumo]]</x:f>
        <x:v>#VALUE!</x:v>
      </x:c>
      <x:c r="L305" s="9" t="e">
        <x:f>(Tabela1[[#This Row],[Valor total]]/Tabela1[[#This Row],[Estoque total]])*Tabela1[[#This Row],[Consumo]]</x:f>
        <x:v>#VALUE!</x:v>
      </x:c>
    </x:row>
    <x:row r="306">
      <x:c r="A306" s="2" t="s">
        <x:v>609</x:v>
      </x:c>
      <x:c r="B306" s="2" t="s">
        <x:v>610</x:v>
      </x:c>
      <x:c r="C306" s="2" t="s">
        <x:v>14</x:v>
      </x:c>
      <x:c r="D306" s="2" t="s">
        <x:v>15</x:v>
      </x:c>
      <x:c r="E306" s="2" t="s">
        <x:v>16</x:v>
      </x:c>
      <x:c r="F306" s="2" t="s">
        <x:v>17</x:v>
      </x:c>
      <x:c r="G306" s="3">
        <x:v>18</x:v>
      </x:c>
      <x:c r="H306" s="2" t="s">
        <x:v>18</x:v>
      </x:c>
      <x:c r="I306" s="7">
        <x:v>369.72</x:v>
      </x:c>
      <x:c r="J306" s="2"/>
      <x:c r="K306" s="5" t="e">
        <x:f>Tabela1[[#This Row],[Estoque total]]-Tabela1[[#This Row],[Consumo]]</x:f>
        <x:v>#VALUE!</x:v>
      </x:c>
      <x:c r="L306" s="9" t="e">
        <x:f>(Tabela1[[#This Row],[Valor total]]/Tabela1[[#This Row],[Estoque total]])*Tabela1[[#This Row],[Consumo]]</x:f>
        <x:v>#VALUE!</x:v>
      </x:c>
    </x:row>
    <x:row r="307">
      <x:c r="A307" s="2" t="s">
        <x:v>611</x:v>
      </x:c>
      <x:c r="B307" s="2" t="s">
        <x:v>612</x:v>
      </x:c>
      <x:c r="C307" s="2" t="s">
        <x:v>14</x:v>
      </x:c>
      <x:c r="D307" s="2" t="s">
        <x:v>15</x:v>
      </x:c>
      <x:c r="E307" s="2" t="s">
        <x:v>16</x:v>
      </x:c>
      <x:c r="F307" s="2" t="s">
        <x:v>17</x:v>
      </x:c>
      <x:c r="G307" s="3">
        <x:v>1190</x:v>
      </x:c>
      <x:c r="H307" s="2" t="s">
        <x:v>18</x:v>
      </x:c>
      <x:c r="I307" s="7">
        <x:v>10650.5</x:v>
      </x:c>
      <x:c r="J307" s="2"/>
      <x:c r="K307" s="5" t="e">
        <x:f>Tabela1[[#This Row],[Estoque total]]-Tabela1[[#This Row],[Consumo]]</x:f>
        <x:v>#VALUE!</x:v>
      </x:c>
      <x:c r="L307" s="9" t="e">
        <x:f>(Tabela1[[#This Row],[Valor total]]/Tabela1[[#This Row],[Estoque total]])*Tabela1[[#This Row],[Consumo]]</x:f>
        <x:v>#VALUE!</x:v>
      </x:c>
    </x:row>
    <x:row r="308">
      <x:c r="A308" s="2" t="s">
        <x:v>613</x:v>
      </x:c>
      <x:c r="B308" s="2" t="s">
        <x:v>614</x:v>
      </x:c>
      <x:c r="C308" s="2" t="s">
        <x:v>14</x:v>
      </x:c>
      <x:c r="D308" s="2" t="s">
        <x:v>15</x:v>
      </x:c>
      <x:c r="E308" s="2" t="s">
        <x:v>16</x:v>
      </x:c>
      <x:c r="F308" s="2" t="s">
        <x:v>17</x:v>
      </x:c>
      <x:c r="G308" s="3">
        <x:v>1900</x:v>
      </x:c>
      <x:c r="H308" s="2" t="s">
        <x:v>18</x:v>
      </x:c>
      <x:c r="I308" s="7">
        <x:v>8075</x:v>
      </x:c>
      <x:c r="J308" s="2"/>
      <x:c r="K308" s="5" t="e">
        <x:f>Tabela1[[#This Row],[Estoque total]]-Tabela1[[#This Row],[Consumo]]</x:f>
        <x:v>#VALUE!</x:v>
      </x:c>
      <x:c r="L308" s="9" t="e">
        <x:f>(Tabela1[[#This Row],[Valor total]]/Tabela1[[#This Row],[Estoque total]])*Tabela1[[#This Row],[Consumo]]</x:f>
        <x:v>#VALUE!</x:v>
      </x:c>
    </x:row>
    <x:row r="309">
      <x:c r="A309" s="2" t="s">
        <x:v>615</x:v>
      </x:c>
      <x:c r="B309" s="2" t="s">
        <x:v>616</x:v>
      </x:c>
      <x:c r="C309" s="2" t="s">
        <x:v>14</x:v>
      </x:c>
      <x:c r="D309" s="2" t="s">
        <x:v>15</x:v>
      </x:c>
      <x:c r="E309" s="2" t="s">
        <x:v>16</x:v>
      </x:c>
      <x:c r="F309" s="2" t="s">
        <x:v>31</x:v>
      </x:c>
      <x:c r="G309" s="3">
        <x:v>8</x:v>
      </x:c>
      <x:c r="H309" s="2" t="s">
        <x:v>18</x:v>
      </x:c>
      <x:c r="I309" s="7">
        <x:v>1.63</x:v>
      </x:c>
      <x:c r="J309" s="2"/>
      <x:c r="K309" s="5" t="e">
        <x:f>Tabela1[[#This Row],[Estoque total]]-Tabela1[[#This Row],[Consumo]]</x:f>
        <x:v>#VALUE!</x:v>
      </x:c>
      <x:c r="L309" s="9" t="e">
        <x:f>(Tabela1[[#This Row],[Valor total]]/Tabela1[[#This Row],[Estoque total]])*Tabela1[[#This Row],[Consumo]]</x:f>
        <x:v>#VALUE!</x:v>
      </x:c>
    </x:row>
    <x:row r="310">
      <x:c r="A310" s="2" t="s">
        <x:v>617</x:v>
      </x:c>
      <x:c r="B310" s="2" t="s">
        <x:v>618</x:v>
      </x:c>
      <x:c r="C310" s="2" t="s">
        <x:v>14</x:v>
      </x:c>
      <x:c r="D310" s="2" t="s">
        <x:v>15</x:v>
      </x:c>
      <x:c r="E310" s="2" t="s">
        <x:v>16</x:v>
      </x:c>
      <x:c r="F310" s="2" t="s">
        <x:v>31</x:v>
      </x:c>
      <x:c r="G310" s="3">
        <x:v>8</x:v>
      </x:c>
      <x:c r="H310" s="2" t="s">
        <x:v>18</x:v>
      </x:c>
      <x:c r="I310" s="7">
        <x:v>42.24</x:v>
      </x:c>
      <x:c r="J310" s="2" t="n">
        <x:v>2</x:v>
      </x:c>
      <x:c r="K310" s="5" t="n">
        <x:f>Tabela1[[#This Row],[Estoque total]]-Tabela1[[#This Row],[Consumo]]</x:f>
        <x:v>6</x:v>
      </x:c>
      <x:c r="L310" s="9" t="n">
        <x:f>(Tabela1[[#This Row],[Valor total]]/Tabela1[[#This Row],[Estoque total]])*Tabela1[[#This Row],[Consumo]]</x:f>
        <x:v>10.56</x:v>
      </x:c>
    </x:row>
    <x:row r="311">
      <x:c r="A311" s="2" t="s">
        <x:v>617</x:v>
      </x:c>
      <x:c r="B311" s="2" t="s">
        <x:v>618</x:v>
      </x:c>
      <x:c r="C311" s="2" t="s">
        <x:v>14</x:v>
      </x:c>
      <x:c r="D311" s="2" t="s">
        <x:v>15</x:v>
      </x:c>
      <x:c r="E311" s="2" t="s">
        <x:v>16</x:v>
      </x:c>
      <x:c r="F311" s="2" t="s">
        <x:v>17</x:v>
      </x:c>
      <x:c r="G311" s="3">
        <x:v>5</x:v>
      </x:c>
      <x:c r="H311" s="2" t="s">
        <x:v>18</x:v>
      </x:c>
      <x:c r="I311" s="7">
        <x:v>17.77</x:v>
      </x:c>
      <x:c r="J311" s="2" t="n">
        <x:v>5</x:v>
      </x:c>
      <x:c r="K311" s="5" t="n">
        <x:f>Tabela1[[#This Row],[Estoque total]]-Tabela1[[#This Row],[Consumo]]</x:f>
        <x:v>0</x:v>
      </x:c>
      <x:c r="L311" s="9" t="n">
        <x:f>(Tabela1[[#This Row],[Valor total]]/Tabela1[[#This Row],[Estoque total]])*Tabela1[[#This Row],[Consumo]]</x:f>
        <x:v>17.77</x:v>
      </x:c>
    </x:row>
    <x:row r="312">
      <x:c r="A312" s="2" t="s">
        <x:v>619</x:v>
      </x:c>
      <x:c r="B312" s="2" t="s">
        <x:v>620</x:v>
      </x:c>
      <x:c r="C312" s="2" t="s">
        <x:v>14</x:v>
      </x:c>
      <x:c r="D312" s="2" t="s">
        <x:v>15</x:v>
      </x:c>
      <x:c r="E312" s="2" t="s">
        <x:v>16</x:v>
      </x:c>
      <x:c r="F312" s="2" t="s">
        <x:v>31</x:v>
      </x:c>
      <x:c r="G312" s="3">
        <x:v>2</x:v>
      </x:c>
      <x:c r="H312" s="2" t="s">
        <x:v>18</x:v>
      </x:c>
      <x:c r="I312" s="7">
        <x:v>19.86</x:v>
      </x:c>
      <x:c r="J312" s="2"/>
      <x:c r="K312" s="5" t="e">
        <x:f>Tabela1[[#This Row],[Estoque total]]-Tabela1[[#This Row],[Consumo]]</x:f>
        <x:v>#VALUE!</x:v>
      </x:c>
      <x:c r="L312" s="9" t="e">
        <x:f>(Tabela1[[#This Row],[Valor total]]/Tabela1[[#This Row],[Estoque total]])*Tabela1[[#This Row],[Consumo]]</x:f>
        <x:v>#VALUE!</x:v>
      </x:c>
    </x:row>
    <x:row r="313">
      <x:c r="A313" s="2" t="s">
        <x:v>621</x:v>
      </x:c>
      <x:c r="B313" s="2" t="s">
        <x:v>622</x:v>
      </x:c>
      <x:c r="C313" s="2" t="s">
        <x:v>14</x:v>
      </x:c>
      <x:c r="D313" s="2" t="s">
        <x:v>15</x:v>
      </x:c>
      <x:c r="E313" s="2" t="s">
        <x:v>16</x:v>
      </x:c>
      <x:c r="F313" s="2" t="s">
        <x:v>31</x:v>
      </x:c>
      <x:c r="G313" s="3">
        <x:v>10</x:v>
      </x:c>
      <x:c r="H313" s="2" t="s">
        <x:v>18</x:v>
      </x:c>
      <x:c r="I313" s="7">
        <x:v>480</x:v>
      </x:c>
      <x:c r="J313" s="2"/>
      <x:c r="K313" s="5" t="e">
        <x:f>Tabela1[[#This Row],[Estoque total]]-Tabela1[[#This Row],[Consumo]]</x:f>
        <x:v>#VALUE!</x:v>
      </x:c>
      <x:c r="L313" s="9" t="e">
        <x:f>(Tabela1[[#This Row],[Valor total]]/Tabela1[[#This Row],[Estoque total]])*Tabela1[[#This Row],[Consumo]]</x:f>
        <x:v>#VALUE!</x:v>
      </x:c>
    </x:row>
    <x:row r="314">
      <x:c r="A314" s="2" t="s">
        <x:v>623</x:v>
      </x:c>
      <x:c r="B314" s="2" t="s">
        <x:v>624</x:v>
      </x:c>
      <x:c r="C314" s="2" t="s">
        <x:v>14</x:v>
      </x:c>
      <x:c r="D314" s="2" t="s">
        <x:v>15</x:v>
      </x:c>
      <x:c r="E314" s="2" t="s">
        <x:v>16</x:v>
      </x:c>
      <x:c r="F314" s="2" t="s">
        <x:v>17</x:v>
      </x:c>
      <x:c r="G314" s="3">
        <x:v>130</x:v>
      </x:c>
      <x:c r="H314" s="2" t="s">
        <x:v>18</x:v>
      </x:c>
      <x:c r="I314" s="7">
        <x:v>46.8</x:v>
      </x:c>
      <x:c r="J314" s="2"/>
      <x:c r="K314" s="5" t="e">
        <x:f>Tabela1[[#This Row],[Estoque total]]-Tabela1[[#This Row],[Consumo]]</x:f>
        <x:v>#VALUE!</x:v>
      </x:c>
      <x:c r="L314" s="9" t="e">
        <x:f>(Tabela1[[#This Row],[Valor total]]/Tabela1[[#This Row],[Estoque total]])*Tabela1[[#This Row],[Consumo]]</x:f>
        <x:v>#VALUE!</x:v>
      </x:c>
    </x:row>
    <x:row r="315">
      <x:c r="A315" s="2" t="s">
        <x:v>625</x:v>
      </x:c>
      <x:c r="B315" s="2" t="s">
        <x:v>626</x:v>
      </x:c>
      <x:c r="C315" s="2" t="s">
        <x:v>14</x:v>
      </x:c>
      <x:c r="D315" s="2" t="s">
        <x:v>15</x:v>
      </x:c>
      <x:c r="E315" s="2" t="s">
        <x:v>16</x:v>
      </x:c>
      <x:c r="F315" s="2" t="s">
        <x:v>17</x:v>
      </x:c>
      <x:c r="G315" s="3">
        <x:v>6</x:v>
      </x:c>
      <x:c r="H315" s="2" t="s">
        <x:v>18</x:v>
      </x:c>
      <x:c r="I315" s="7">
        <x:v>179.4</x:v>
      </x:c>
      <x:c r="J315" s="2" t="n">
        <x:v>6</x:v>
      </x:c>
      <x:c r="K315" s="5" t="n">
        <x:f>Tabela1[[#This Row],[Estoque total]]-Tabela1[[#This Row],[Consumo]]</x:f>
        <x:v>0</x:v>
      </x:c>
      <x:c r="L315" s="9" t="n">
        <x:f>(Tabela1[[#This Row],[Valor total]]/Tabela1[[#This Row],[Estoque total]])*Tabela1[[#This Row],[Consumo]]</x:f>
        <x:v>179.4</x:v>
      </x:c>
    </x:row>
    <x:row r="316">
      <x:c r="A316" s="2" t="s">
        <x:v>627</x:v>
      </x:c>
      <x:c r="B316" s="2" t="s">
        <x:v>628</x:v>
      </x:c>
      <x:c r="C316" s="2" t="s">
        <x:v>14</x:v>
      </x:c>
      <x:c r="D316" s="2" t="s">
        <x:v>15</x:v>
      </x:c>
      <x:c r="E316" s="2" t="s">
        <x:v>16</x:v>
      </x:c>
      <x:c r="F316" s="2" t="s">
        <x:v>31</x:v>
      </x:c>
      <x:c r="G316" s="4">
        <x:v>2</x:v>
      </x:c>
      <x:c r="H316" s="2" t="s">
        <x:v>629</x:v>
      </x:c>
      <x:c r="I316" s="7">
        <x:v>12.84</x:v>
      </x:c>
      <x:c r="J316" s="2" t="n">
        <x:v>2</x:v>
      </x:c>
      <x:c r="K316" s="5" t="n">
        <x:f>Tabela1[[#This Row],[Estoque total]]-Tabela1[[#This Row],[Consumo]]</x:f>
        <x:v>0</x:v>
      </x:c>
      <x:c r="L316" s="9" t="n">
        <x:f>(Tabela1[[#This Row],[Valor total]]/Tabela1[[#This Row],[Estoque total]])*Tabela1[[#This Row],[Consumo]]</x:f>
        <x:v>12.84</x:v>
      </x:c>
    </x:row>
    <x:row r="317">
      <x:c r="A317" s="2" t="s">
        <x:v>630</x:v>
      </x:c>
      <x:c r="B317" s="2" t="s">
        <x:v>631</x:v>
      </x:c>
      <x:c r="C317" s="2" t="s">
        <x:v>14</x:v>
      </x:c>
      <x:c r="D317" s="2" t="s">
        <x:v>15</x:v>
      </x:c>
      <x:c r="E317" s="2" t="s">
        <x:v>16</x:v>
      </x:c>
      <x:c r="F317" s="2" t="s">
        <x:v>17</x:v>
      </x:c>
      <x:c r="G317" s="3">
        <x:v>160</x:v>
      </x:c>
      <x:c r="H317" s="2" t="s">
        <x:v>18</x:v>
      </x:c>
      <x:c r="I317" s="7">
        <x:v>616</x:v>
      </x:c>
      <x:c r="J317" s="2"/>
      <x:c r="K317" s="5" t="e">
        <x:f>Tabela1[[#This Row],[Estoque total]]-Tabela1[[#This Row],[Consumo]]</x:f>
        <x:v>#VALUE!</x:v>
      </x:c>
      <x:c r="L317" s="9" t="e">
        <x:f>(Tabela1[[#This Row],[Valor total]]/Tabela1[[#This Row],[Estoque total]])*Tabela1[[#This Row],[Consumo]]</x:f>
        <x:v>#VALUE!</x:v>
      </x:c>
    </x:row>
    <x:row r="318">
      <x:c r="A318" s="2" t="s">
        <x:v>632</x:v>
      </x:c>
      <x:c r="B318" s="2" t="s">
        <x:v>633</x:v>
      </x:c>
      <x:c r="C318" s="2" t="s">
        <x:v>634</x:v>
      </x:c>
      <x:c r="D318" s="2" t="s">
        <x:v>15</x:v>
      </x:c>
      <x:c r="E318" s="2" t="s">
        <x:v>16</x:v>
      </x:c>
      <x:c r="F318" s="2" t="s">
        <x:v>17</x:v>
      </x:c>
      <x:c r="G318" s="3">
        <x:v>21</x:v>
      </x:c>
      <x:c r="H318" s="2" t="s">
        <x:v>18</x:v>
      </x:c>
      <x:c r="I318" s="7">
        <x:v>510.3</x:v>
      </x:c>
      <x:c r="J318" s="2"/>
      <x:c r="K318" s="5" t="e">
        <x:f>Tabela1[[#This Row],[Estoque total]]-Tabela1[[#This Row],[Consumo]]</x:f>
        <x:v>#VALUE!</x:v>
      </x:c>
      <x:c r="L318" s="9" t="e">
        <x:f>(Tabela1[[#This Row],[Valor total]]/Tabela1[[#This Row],[Estoque total]])*Tabela1[[#This Row],[Consumo]]</x:f>
        <x:v>#VALUE!</x:v>
      </x:c>
    </x:row>
    <x:row r="319">
      <x:c r="A319" s="2" t="s">
        <x:v>635</x:v>
      </x:c>
      <x:c r="B319" s="2" t="s">
        <x:v>636</x:v>
      </x:c>
      <x:c r="C319" s="2" t="s">
        <x:v>14</x:v>
      </x:c>
      <x:c r="D319" s="2" t="s">
        <x:v>15</x:v>
      </x:c>
      <x:c r="E319" s="2" t="s">
        <x:v>16</x:v>
      </x:c>
      <x:c r="F319" s="2" t="s">
        <x:v>17</x:v>
      </x:c>
      <x:c r="G319" s="3">
        <x:v>4</x:v>
      </x:c>
      <x:c r="H319" s="2" t="s">
        <x:v>18</x:v>
      </x:c>
      <x:c r="I319" s="7">
        <x:v>173.44</x:v>
      </x:c>
      <x:c r="J319" s="2"/>
      <x:c r="K319" s="5" t="e">
        <x:f>Tabela1[[#This Row],[Estoque total]]-Tabela1[[#This Row],[Consumo]]</x:f>
        <x:v>#VALUE!</x:v>
      </x:c>
      <x:c r="L319" s="9" t="e">
        <x:f>(Tabela1[[#This Row],[Valor total]]/Tabela1[[#This Row],[Estoque total]])*Tabela1[[#This Row],[Consumo]]</x:f>
        <x:v>#VALUE!</x:v>
      </x:c>
    </x:row>
    <x:row r="320">
      <x:c r="A320" s="2" t="s">
        <x:v>637</x:v>
      </x:c>
      <x:c r="B320" s="2" t="s">
        <x:v>638</x:v>
      </x:c>
      <x:c r="C320" s="2" t="s">
        <x:v>14</x:v>
      </x:c>
      <x:c r="D320" s="2" t="s">
        <x:v>15</x:v>
      </x:c>
      <x:c r="E320" s="2" t="s">
        <x:v>16</x:v>
      </x:c>
      <x:c r="F320" s="2" t="s">
        <x:v>17</x:v>
      </x:c>
      <x:c r="G320" s="3">
        <x:v>4</x:v>
      </x:c>
      <x:c r="H320" s="2" t="s">
        <x:v>18</x:v>
      </x:c>
      <x:c r="I320" s="7">
        <x:v>235.92</x:v>
      </x:c>
      <x:c r="J320" s="2"/>
      <x:c r="K320" s="5" t="e">
        <x:f>Tabela1[[#This Row],[Estoque total]]-Tabela1[[#This Row],[Consumo]]</x:f>
        <x:v>#VALUE!</x:v>
      </x:c>
      <x:c r="L320" s="9" t="e">
        <x:f>(Tabela1[[#This Row],[Valor total]]/Tabela1[[#This Row],[Estoque total]])*Tabela1[[#This Row],[Consumo]]</x:f>
        <x:v>#VALUE!</x:v>
      </x:c>
    </x:row>
    <x:row r="321">
      <x:c r="A321" s="2" t="s">
        <x:v>639</x:v>
      </x:c>
      <x:c r="B321" s="2" t="s">
        <x:v>640</x:v>
      </x:c>
      <x:c r="C321" s="2" t="s">
        <x:v>14</x:v>
      </x:c>
      <x:c r="D321" s="2" t="s">
        <x:v>15</x:v>
      </x:c>
      <x:c r="E321" s="2" t="s">
        <x:v>16</x:v>
      </x:c>
      <x:c r="F321" s="2" t="s">
        <x:v>17</x:v>
      </x:c>
      <x:c r="G321" s="3">
        <x:v>12</x:v>
      </x:c>
      <x:c r="H321" s="2" t="s">
        <x:v>18</x:v>
      </x:c>
      <x:c r="I321" s="7">
        <x:v>646.79999999999995</x:v>
      </x:c>
      <x:c r="J321" s="2"/>
      <x:c r="K321" s="5" t="e">
        <x:f>Tabela1[[#This Row],[Estoque total]]-Tabela1[[#This Row],[Consumo]]</x:f>
        <x:v>#VALUE!</x:v>
      </x:c>
      <x:c r="L321" s="9" t="e">
        <x:f>(Tabela1[[#This Row],[Valor total]]/Tabela1[[#This Row],[Estoque total]])*Tabela1[[#This Row],[Consumo]]</x:f>
        <x:v>#VALUE!</x:v>
      </x:c>
    </x:row>
    <x:row r="322">
      <x:c r="A322" s="2" t="s">
        <x:v>641</x:v>
      </x:c>
      <x:c r="B322" s="2" t="s">
        <x:v>642</x:v>
      </x:c>
      <x:c r="C322" s="2" t="s">
        <x:v>14</x:v>
      </x:c>
      <x:c r="D322" s="2" t="s">
        <x:v>15</x:v>
      </x:c>
      <x:c r="E322" s="2" t="s">
        <x:v>16</x:v>
      </x:c>
      <x:c r="F322" s="2" t="s">
        <x:v>17</x:v>
      </x:c>
      <x:c r="G322" s="3">
        <x:v>80</x:v>
      </x:c>
      <x:c r="H322" s="2" t="s">
        <x:v>18</x:v>
      </x:c>
      <x:c r="I322" s="7">
        <x:v>4155.2</x:v>
      </x:c>
      <x:c r="J322" s="2"/>
      <x:c r="K322" s="5" t="e">
        <x:f>Tabela1[[#This Row],[Estoque total]]-Tabela1[[#This Row],[Consumo]]</x:f>
        <x:v>#VALUE!</x:v>
      </x:c>
      <x:c r="L322" s="9" t="e">
        <x:f>(Tabela1[[#This Row],[Valor total]]/Tabela1[[#This Row],[Estoque total]])*Tabela1[[#This Row],[Consumo]]</x:f>
        <x:v>#VALUE!</x:v>
      </x:c>
    </x:row>
    <x:row r="323">
      <x:c r="A323" s="2" t="s">
        <x:v>643</x:v>
      </x:c>
      <x:c r="B323" s="2" t="s">
        <x:v>644</x:v>
      </x:c>
      <x:c r="C323" s="2" t="s">
        <x:v>14</x:v>
      </x:c>
      <x:c r="D323" s="2" t="s">
        <x:v>15</x:v>
      </x:c>
      <x:c r="E323" s="2" t="s">
        <x:v>16</x:v>
      </x:c>
      <x:c r="F323" s="2" t="s">
        <x:v>17</x:v>
      </x:c>
      <x:c r="G323" s="3">
        <x:v>52</x:v>
      </x:c>
      <x:c r="H323" s="2" t="s">
        <x:v>18</x:v>
      </x:c>
      <x:c r="I323" s="7">
        <x:v>368.16</x:v>
      </x:c>
      <x:c r="J323" s="2"/>
      <x:c r="K323" s="5" t="e">
        <x:f>Tabela1[[#This Row],[Estoque total]]-Tabela1[[#This Row],[Consumo]]</x:f>
        <x:v>#VALUE!</x:v>
      </x:c>
      <x:c r="L323" s="9" t="e">
        <x:f>(Tabela1[[#This Row],[Valor total]]/Tabela1[[#This Row],[Estoque total]])*Tabela1[[#This Row],[Consumo]]</x:f>
        <x:v>#VALUE!</x:v>
      </x:c>
    </x:row>
    <x:row r="324">
      <x:c r="A324" s="2" t="s">
        <x:v>645</x:v>
      </x:c>
      <x:c r="B324" s="2" t="s">
        <x:v>646</x:v>
      </x:c>
      <x:c r="C324" s="2" t="s">
        <x:v>14</x:v>
      </x:c>
      <x:c r="D324" s="2" t="s">
        <x:v>15</x:v>
      </x:c>
      <x:c r="E324" s="2" t="s">
        <x:v>16</x:v>
      </x:c>
      <x:c r="F324" s="2" t="s">
        <x:v>17</x:v>
      </x:c>
      <x:c r="G324" s="3">
        <x:v>42</x:v>
      </x:c>
      <x:c r="H324" s="2" t="s">
        <x:v>18</x:v>
      </x:c>
      <x:c r="I324" s="7">
        <x:v>18.059999999999999</x:v>
      </x:c>
      <x:c r="J324" s="2"/>
      <x:c r="K324" s="5" t="e">
        <x:f>Tabela1[[#This Row],[Estoque total]]-Tabela1[[#This Row],[Consumo]]</x:f>
        <x:v>#VALUE!</x:v>
      </x:c>
      <x:c r="L324" s="9" t="e">
        <x:f>(Tabela1[[#This Row],[Valor total]]/Tabela1[[#This Row],[Estoque total]])*Tabela1[[#This Row],[Consumo]]</x:f>
        <x:v>#VALUE!</x:v>
      </x:c>
    </x:row>
    <x:row r="325">
      <x:c r="A325" s="2" t="s">
        <x:v>647</x:v>
      </x:c>
      <x:c r="B325" s="2" t="s">
        <x:v>648</x:v>
      </x:c>
      <x:c r="C325" s="2" t="s">
        <x:v>14</x:v>
      </x:c>
      <x:c r="D325" s="2" t="s">
        <x:v>15</x:v>
      </x:c>
      <x:c r="E325" s="2" t="s">
        <x:v>16</x:v>
      </x:c>
      <x:c r="F325" s="2" t="s">
        <x:v>31</x:v>
      </x:c>
      <x:c r="G325" s="3">
        <x:v>340</x:v>
      </x:c>
      <x:c r="H325" s="2" t="s">
        <x:v>18</x:v>
      </x:c>
      <x:c r="I325" s="7">
        <x:v>1309</x:v>
      </x:c>
      <x:c r="J325" s="2"/>
      <x:c r="K325" s="5" t="e">
        <x:f>Tabela1[[#This Row],[Estoque total]]-Tabela1[[#This Row],[Consumo]]</x:f>
        <x:v>#VALUE!</x:v>
      </x:c>
      <x:c r="L325" s="9" t="e">
        <x:f>(Tabela1[[#This Row],[Valor total]]/Tabela1[[#This Row],[Estoque total]])*Tabela1[[#This Row],[Consumo]]</x:f>
        <x:v>#VALUE!</x:v>
      </x:c>
    </x:row>
    <x:row r="326">
      <x:c r="A326" s="2" t="s">
        <x:v>649</x:v>
      </x:c>
      <x:c r="B326" s="2" t="s">
        <x:v>650</x:v>
      </x:c>
      <x:c r="C326" s="2" t="s">
        <x:v>14</x:v>
      </x:c>
      <x:c r="D326" s="2" t="s">
        <x:v>15</x:v>
      </x:c>
      <x:c r="E326" s="2" t="s">
        <x:v>16</x:v>
      </x:c>
      <x:c r="F326" s="2" t="s">
        <x:v>17</x:v>
      </x:c>
      <x:c r="G326" s="3">
        <x:v>9</x:v>
      </x:c>
      <x:c r="H326" s="2" t="s">
        <x:v>18</x:v>
      </x:c>
      <x:c r="I326" s="7">
        <x:v>0</x:v>
      </x:c>
      <x:c r="J326" s="2" t="n">
        <x:v>9</x:v>
      </x:c>
      <x:c r="K326" s="5" t="n">
        <x:f>Tabela1[[#This Row],[Estoque total]]-Tabela1[[#This Row],[Consumo]]</x:f>
        <x:v>0</x:v>
      </x:c>
      <x:c r="L326" s="9" t="n">
        <x:f>(Tabela1[[#This Row],[Valor total]]/Tabela1[[#This Row],[Estoque total]])*Tabela1[[#This Row],[Consumo]]</x:f>
        <x:v>0</x:v>
      </x:c>
    </x:row>
    <x:row r="327">
      <x:c r="A327" s="2" t="s">
        <x:v>651</x:v>
      </x:c>
      <x:c r="B327" s="2" t="s">
        <x:v>652</x:v>
      </x:c>
      <x:c r="C327" s="2" t="s">
        <x:v>14</x:v>
      </x:c>
      <x:c r="D327" s="2" t="s">
        <x:v>15</x:v>
      </x:c>
      <x:c r="E327" s="2" t="s">
        <x:v>16</x:v>
      </x:c>
      <x:c r="F327" s="2" t="s">
        <x:v>31</x:v>
      </x:c>
      <x:c r="G327" s="3">
        <x:v>4</x:v>
      </x:c>
      <x:c r="H327" s="2" t="s">
        <x:v>18</x:v>
      </x:c>
      <x:c r="I327" s="7">
        <x:v>39.44</x:v>
      </x:c>
      <x:c r="J327" s="2" t="n">
        <x:v>2</x:v>
      </x:c>
      <x:c r="K327" s="5" t="n">
        <x:f>Tabela1[[#This Row],[Estoque total]]-Tabela1[[#This Row],[Consumo]]</x:f>
        <x:v>2</x:v>
      </x:c>
      <x:c r="L327" s="9" t="n">
        <x:f>(Tabela1[[#This Row],[Valor total]]/Tabela1[[#This Row],[Estoque total]])*Tabela1[[#This Row],[Consumo]]</x:f>
        <x:v>19.72</x:v>
      </x:c>
    </x:row>
    <x:row r="328">
      <x:c r="A328" s="2" t="s">
        <x:v>653</x:v>
      </x:c>
      <x:c r="B328" s="2" t="s">
        <x:v>654</x:v>
      </x:c>
      <x:c r="C328" s="2" t="s">
        <x:v>14</x:v>
      </x:c>
      <x:c r="D328" s="2" t="s">
        <x:v>15</x:v>
      </x:c>
      <x:c r="E328" s="2" t="s">
        <x:v>16</x:v>
      </x:c>
      <x:c r="F328" s="2" t="s">
        <x:v>17</x:v>
      </x:c>
      <x:c r="G328" s="3">
        <x:v>1</x:v>
      </x:c>
      <x:c r="H328" s="2" t="s">
        <x:v>18</x:v>
      </x:c>
      <x:c r="I328" s="7">
        <x:v>31.67</x:v>
      </x:c>
      <x:c r="J328" s="2" t="n">
        <x:v>1</x:v>
      </x:c>
      <x:c r="K328" s="5" t="n">
        <x:f>Tabela1[[#This Row],[Estoque total]]-Tabela1[[#This Row],[Consumo]]</x:f>
        <x:v>0</x:v>
      </x:c>
      <x:c r="L328" s="9" t="n">
        <x:f>(Tabela1[[#This Row],[Valor total]]/Tabela1[[#This Row],[Estoque total]])*Tabela1[[#This Row],[Consumo]]</x:f>
        <x:v>31.67</x:v>
      </x:c>
    </x:row>
    <x:row r="329">
      <x:c r="A329" s="2" t="s">
        <x:v>655</x:v>
      </x:c>
      <x:c r="B329" s="2" t="s">
        <x:v>656</x:v>
      </x:c>
      <x:c r="C329" s="2" t="s">
        <x:v>14</x:v>
      </x:c>
      <x:c r="D329" s="2" t="s">
        <x:v>15</x:v>
      </x:c>
      <x:c r="E329" s="2" t="s">
        <x:v>16</x:v>
      </x:c>
      <x:c r="F329" s="2" t="s">
        <x:v>31</x:v>
      </x:c>
      <x:c r="G329" s="4">
        <x:v>12</x:v>
      </x:c>
      <x:c r="H329" s="2" t="s">
        <x:v>657</x:v>
      </x:c>
      <x:c r="I329" s="7">
        <x:v>58.44</x:v>
      </x:c>
      <x:c r="J329" s="2" t="n">
        <x:v>12</x:v>
      </x:c>
      <x:c r="K329" s="5" t="n">
        <x:f>Tabela1[[#This Row],[Estoque total]]-Tabela1[[#This Row],[Consumo]]</x:f>
        <x:v>0</x:v>
      </x:c>
      <x:c r="L329" s="9" t="n">
        <x:f>(Tabela1[[#This Row],[Valor total]]/Tabela1[[#This Row],[Estoque total]])*Tabela1[[#This Row],[Consumo]]</x:f>
        <x:v>58.44</x:v>
      </x:c>
    </x:row>
    <x:row r="330">
      <x:c r="A330" s="2" t="s">
        <x:v>658</x:v>
      </x:c>
      <x:c r="B330" s="2" t="s">
        <x:v>659</x:v>
      </x:c>
      <x:c r="C330" s="2" t="s">
        <x:v>14</x:v>
      </x:c>
      <x:c r="D330" s="2" t="s">
        <x:v>15</x:v>
      </x:c>
      <x:c r="E330" s="2" t="s">
        <x:v>16</x:v>
      </x:c>
      <x:c r="F330" s="2" t="s">
        <x:v>17</x:v>
      </x:c>
      <x:c r="G330" s="3">
        <x:v>50800</x:v>
      </x:c>
      <x:c r="H330" s="2" t="s">
        <x:v>544</x:v>
      </x:c>
      <x:c r="I330" s="7">
        <x:v>182880</x:v>
      </x:c>
      <x:c r="J330" s="2"/>
      <x:c r="K330" s="5" t="e">
        <x:f>Tabela1[[#This Row],[Estoque total]]-Tabela1[[#This Row],[Consumo]]</x:f>
        <x:v>#VALUE!</x:v>
      </x:c>
      <x:c r="L330" s="9" t="e">
        <x:f>(Tabela1[[#This Row],[Valor total]]/Tabela1[[#This Row],[Estoque total]])*Tabela1[[#This Row],[Consumo]]</x:f>
        <x:v>#VALUE!</x:v>
      </x:c>
    </x:row>
    <x:row r="331">
      <x:c r="A331" s="2" t="s">
        <x:v>660</x:v>
      </x:c>
      <x:c r="B331" s="2" t="s">
        <x:v>661</x:v>
      </x:c>
      <x:c r="C331" s="2" t="s">
        <x:v>14</x:v>
      </x:c>
      <x:c r="D331" s="2" t="s">
        <x:v>15</x:v>
      </x:c>
      <x:c r="E331" s="2" t="s">
        <x:v>16</x:v>
      </x:c>
      <x:c r="F331" s="2" t="s">
        <x:v>17</x:v>
      </x:c>
      <x:c r="G331" s="3">
        <x:v>2</x:v>
      </x:c>
      <x:c r="H331" s="2" t="s">
        <x:v>544</x:v>
      </x:c>
      <x:c r="I331" s="7">
        <x:v>87.5</x:v>
      </x:c>
      <x:c r="J331" s="2" t="n">
        <x:v>2</x:v>
      </x:c>
      <x:c r="K331" s="5" t="n">
        <x:f>Tabela1[[#This Row],[Estoque total]]-Tabela1[[#This Row],[Consumo]]</x:f>
        <x:v>0</x:v>
      </x:c>
      <x:c r="L331" s="9" t="n">
        <x:f>(Tabela1[[#This Row],[Valor total]]/Tabela1[[#This Row],[Estoque total]])*Tabela1[[#This Row],[Consumo]]</x:f>
        <x:v>87.5</x:v>
      </x:c>
    </x:row>
    <x:row r="332">
      <x:c r="A332" s="2" t="s">
        <x:v>662</x:v>
      </x:c>
      <x:c r="B332" s="2" t="s">
        <x:v>663</x:v>
      </x:c>
      <x:c r="C332" s="2" t="s">
        <x:v>14</x:v>
      </x:c>
      <x:c r="D332" s="2" t="s">
        <x:v>15</x:v>
      </x:c>
      <x:c r="E332" s="2" t="s">
        <x:v>16</x:v>
      </x:c>
      <x:c r="F332" s="2" t="s">
        <x:v>17</x:v>
      </x:c>
      <x:c r="G332" s="3">
        <x:v>1</x:v>
      </x:c>
      <x:c r="H332" s="2" t="s">
        <x:v>18</x:v>
      </x:c>
      <x:c r="I332" s="7">
        <x:v>10.98</x:v>
      </x:c>
      <x:c r="J332" s="2" t="n">
        <x:v>1</x:v>
      </x:c>
      <x:c r="K332" s="5" t="n">
        <x:f>Tabela1[[#This Row],[Estoque total]]-Tabela1[[#This Row],[Consumo]]</x:f>
        <x:v>0</x:v>
      </x:c>
      <x:c r="L332" s="9" t="n">
        <x:f>(Tabela1[[#This Row],[Valor total]]/Tabela1[[#This Row],[Estoque total]])*Tabela1[[#This Row],[Consumo]]</x:f>
        <x:v>10.98</x:v>
      </x:c>
    </x:row>
    <x:row r="333">
      <x:c r="A333" s="2" t="s">
        <x:v>664</x:v>
      </x:c>
      <x:c r="B333" s="2" t="s">
        <x:v>665</x:v>
      </x:c>
      <x:c r="C333" s="2" t="s">
        <x:v>14</x:v>
      </x:c>
      <x:c r="D333" s="2" t="s">
        <x:v>15</x:v>
      </x:c>
      <x:c r="E333" s="2" t="s">
        <x:v>16</x:v>
      </x:c>
      <x:c r="F333" s="2" t="s">
        <x:v>17</x:v>
      </x:c>
      <x:c r="G333" s="3">
        <x:v>2</x:v>
      </x:c>
      <x:c r="H333" s="2" t="s">
        <x:v>18</x:v>
      </x:c>
      <x:c r="I333" s="7">
        <x:v>2.6</x:v>
      </x:c>
      <x:c r="J333" s="2" t="n">
        <x:v>2</x:v>
      </x:c>
      <x:c r="K333" s="5" t="n">
        <x:f>Tabela1[[#This Row],[Estoque total]]-Tabela1[[#This Row],[Consumo]]</x:f>
        <x:v>0</x:v>
      </x:c>
      <x:c r="L333" s="9" t="n">
        <x:f>(Tabela1[[#This Row],[Valor total]]/Tabela1[[#This Row],[Estoque total]])*Tabela1[[#This Row],[Consumo]]</x:f>
        <x:v>2.6</x:v>
      </x:c>
    </x:row>
    <x:row r="334">
      <x:c r="A334" s="2" t="s">
        <x:v>666</x:v>
      </x:c>
      <x:c r="B334" s="2" t="s">
        <x:v>667</x:v>
      </x:c>
      <x:c r="C334" s="2" t="s">
        <x:v>14</x:v>
      </x:c>
      <x:c r="D334" s="2" t="s">
        <x:v>15</x:v>
      </x:c>
      <x:c r="E334" s="2" t="s">
        <x:v>16</x:v>
      </x:c>
      <x:c r="F334" s="2" t="s">
        <x:v>31</x:v>
      </x:c>
      <x:c r="G334" s="3">
        <x:v>60</x:v>
      </x:c>
      <x:c r="H334" s="2" t="s">
        <x:v>544</x:v>
      </x:c>
      <x:c r="I334" s="7">
        <x:v>180.6</x:v>
      </x:c>
      <x:c r="J334" s="2"/>
      <x:c r="K334" s="5" t="e">
        <x:f>Tabela1[[#This Row],[Estoque total]]-Tabela1[[#This Row],[Consumo]]</x:f>
        <x:v>#VALUE!</x:v>
      </x:c>
      <x:c r="L334" s="9" t="e">
        <x:f>(Tabela1[[#This Row],[Valor total]]/Tabela1[[#This Row],[Estoque total]])*Tabela1[[#This Row],[Consumo]]</x:f>
        <x:v>#VALUE!</x:v>
      </x:c>
    </x:row>
    <x:row r="335">
      <x:c r="A335" s="2" t="s">
        <x:v>668</x:v>
      </x:c>
      <x:c r="B335" s="2" t="s">
        <x:v>669</x:v>
      </x:c>
      <x:c r="C335" s="2" t="s">
        <x:v>14</x:v>
      </x:c>
      <x:c r="D335" s="2" t="s">
        <x:v>15</x:v>
      </x:c>
      <x:c r="E335" s="2" t="s">
        <x:v>16</x:v>
      </x:c>
      <x:c r="F335" s="2" t="s">
        <x:v>31</x:v>
      </x:c>
      <x:c r="G335" s="3">
        <x:v>6</x:v>
      </x:c>
      <x:c r="H335" s="2" t="s">
        <x:v>18</x:v>
      </x:c>
      <x:c r="I335" s="7">
        <x:v>43.11</x:v>
      </x:c>
      <x:c r="J335" s="2" t="n">
        <x:v>6</x:v>
      </x:c>
      <x:c r="K335" s="5" t="n">
        <x:f>Tabela1[[#This Row],[Estoque total]]-Tabela1[[#This Row],[Consumo]]</x:f>
        <x:v>0</x:v>
      </x:c>
      <x:c r="L335" s="9" t="n">
        <x:f>(Tabela1[[#This Row],[Valor total]]/Tabela1[[#This Row],[Estoque total]])*Tabela1[[#This Row],[Consumo]]</x:f>
        <x:v>43.11</x:v>
      </x:c>
    </x:row>
    <x:row r="336">
      <x:c r="A336" s="2" t="s">
        <x:v>670</x:v>
      </x:c>
      <x:c r="B336" s="2" t="s">
        <x:v>671</x:v>
      </x:c>
      <x:c r="C336" s="2" t="s">
        <x:v>14</x:v>
      </x:c>
      <x:c r="D336" s="2" t="s">
        <x:v>15</x:v>
      </x:c>
      <x:c r="E336" s="2" t="s">
        <x:v>16</x:v>
      </x:c>
      <x:c r="F336" s="2" t="s">
        <x:v>17</x:v>
      </x:c>
      <x:c r="G336" s="3">
        <x:v>11</x:v>
      </x:c>
      <x:c r="H336" s="2" t="s">
        <x:v>18</x:v>
      </x:c>
      <x:c r="I336" s="7">
        <x:v>501.27</x:v>
      </x:c>
      <x:c r="J336" s="2"/>
      <x:c r="K336" s="5" t="e">
        <x:f>Tabela1[[#This Row],[Estoque total]]-Tabela1[[#This Row],[Consumo]]</x:f>
        <x:v>#VALUE!</x:v>
      </x:c>
      <x:c r="L336" s="9" t="e">
        <x:f>(Tabela1[[#This Row],[Valor total]]/Tabela1[[#This Row],[Estoque total]])*Tabela1[[#This Row],[Consumo]]</x:f>
        <x:v>#VALUE!</x:v>
      </x:c>
    </x:row>
    <x:row r="337">
      <x:c r="A337" s="2" t="s">
        <x:v>672</x:v>
      </x:c>
      <x:c r="B337" s="2" t="s">
        <x:v>673</x:v>
      </x:c>
      <x:c r="C337" s="2" t="s">
        <x:v>14</x:v>
      </x:c>
      <x:c r="D337" s="2" t="s">
        <x:v>15</x:v>
      </x:c>
      <x:c r="E337" s="2" t="s">
        <x:v>16</x:v>
      </x:c>
      <x:c r="F337" s="2" t="s">
        <x:v>17</x:v>
      </x:c>
      <x:c r="G337" s="3">
        <x:v>12</x:v>
      </x:c>
      <x:c r="H337" s="2" t="s">
        <x:v>18</x:v>
      </x:c>
      <x:c r="I337" s="7">
        <x:v>635.04</x:v>
      </x:c>
      <x:c r="J337" s="2"/>
      <x:c r="K337" s="5" t="e">
        <x:f>Tabela1[[#This Row],[Estoque total]]-Tabela1[[#This Row],[Consumo]]</x:f>
        <x:v>#VALUE!</x:v>
      </x:c>
      <x:c r="L337" s="9" t="e">
        <x:f>(Tabela1[[#This Row],[Valor total]]/Tabela1[[#This Row],[Estoque total]])*Tabela1[[#This Row],[Consumo]]</x:f>
        <x:v>#VALUE!</x:v>
      </x:c>
    </x:row>
    <x:row r="338">
      <x:c r="A338" s="2" t="s">
        <x:v>674</x:v>
      </x:c>
      <x:c r="B338" s="2" t="s">
        <x:v>675</x:v>
      </x:c>
      <x:c r="C338" s="2" t="s">
        <x:v>14</x:v>
      </x:c>
      <x:c r="D338" s="2" t="s">
        <x:v>15</x:v>
      </x:c>
      <x:c r="E338" s="2" t="s">
        <x:v>16</x:v>
      </x:c>
      <x:c r="F338" s="2" t="s">
        <x:v>31</x:v>
      </x:c>
      <x:c r="G338" s="3">
        <x:v>2</x:v>
      </x:c>
      <x:c r="H338" s="2" t="s">
        <x:v>18</x:v>
      </x:c>
      <x:c r="I338" s="7">
        <x:v>218.16</x:v>
      </x:c>
      <x:c r="J338" s="2"/>
      <x:c r="K338" s="5" t="e">
        <x:f>Tabela1[[#This Row],[Estoque total]]-Tabela1[[#This Row],[Consumo]]</x:f>
        <x:v>#VALUE!</x:v>
      </x:c>
      <x:c r="L338" s="9" t="e">
        <x:f>(Tabela1[[#This Row],[Valor total]]/Tabela1[[#This Row],[Estoque total]])*Tabela1[[#This Row],[Consumo]]</x:f>
        <x:v>#VALUE!</x:v>
      </x:c>
    </x:row>
    <x:row r="339">
      <x:c r="A339" s="2" t="s">
        <x:v>676</x:v>
      </x:c>
      <x:c r="B339" s="2" t="s">
        <x:v>677</x:v>
      </x:c>
      <x:c r="C339" s="2" t="s">
        <x:v>14</x:v>
      </x:c>
      <x:c r="D339" s="2" t="s">
        <x:v>15</x:v>
      </x:c>
      <x:c r="E339" s="2" t="s">
        <x:v>16</x:v>
      </x:c>
      <x:c r="F339" s="2" t="s">
        <x:v>31</x:v>
      </x:c>
      <x:c r="G339" s="3">
        <x:v>3</x:v>
      </x:c>
      <x:c r="H339" s="2" t="s">
        <x:v>18</x:v>
      </x:c>
      <x:c r="I339" s="7">
        <x:v>60.6</x:v>
      </x:c>
      <x:c r="J339" s="2"/>
      <x:c r="K339" s="5" t="e">
        <x:f>Tabela1[[#This Row],[Estoque total]]-Tabela1[[#This Row],[Consumo]]</x:f>
        <x:v>#VALUE!</x:v>
      </x:c>
      <x:c r="L339" s="9" t="e">
        <x:f>(Tabela1[[#This Row],[Valor total]]/Tabela1[[#This Row],[Estoque total]])*Tabela1[[#This Row],[Consumo]]</x:f>
        <x:v>#VALUE!</x:v>
      </x:c>
    </x:row>
    <x:row r="340">
      <x:c r="A340" s="2" t="s">
        <x:v>678</x:v>
      </x:c>
      <x:c r="B340" s="2" t="s">
        <x:v>679</x:v>
      </x:c>
      <x:c r="C340" s="2" t="s">
        <x:v>14</x:v>
      </x:c>
      <x:c r="D340" s="2" t="s">
        <x:v>15</x:v>
      </x:c>
      <x:c r="E340" s="2" t="s">
        <x:v>16</x:v>
      </x:c>
      <x:c r="F340" s="2" t="s">
        <x:v>31</x:v>
      </x:c>
      <x:c r="G340" s="3">
        <x:v>1</x:v>
      </x:c>
      <x:c r="H340" s="2" t="s">
        <x:v>18</x:v>
      </x:c>
      <x:c r="I340" s="7">
        <x:v>8.86</x:v>
      </x:c>
      <x:c r="J340" s="2" t="n">
        <x:v>1</x:v>
      </x:c>
      <x:c r="K340" s="5" t="n">
        <x:f>Tabela1[[#This Row],[Estoque total]]-Tabela1[[#This Row],[Consumo]]</x:f>
        <x:v>0</x:v>
      </x:c>
      <x:c r="L340" s="9" t="n">
        <x:f>(Tabela1[[#This Row],[Valor total]]/Tabela1[[#This Row],[Estoque total]])*Tabela1[[#This Row],[Consumo]]</x:f>
        <x:v>8.86</x:v>
      </x:c>
    </x:row>
    <x:row r="341">
      <x:c r="A341" s="2" t="s">
        <x:v>680</x:v>
      </x:c>
      <x:c r="B341" s="2" t="s">
        <x:v>681</x:v>
      </x:c>
      <x:c r="C341" s="2" t="s">
        <x:v>14</x:v>
      </x:c>
      <x:c r="D341" s="2" t="s">
        <x:v>15</x:v>
      </x:c>
      <x:c r="E341" s="2" t="s">
        <x:v>16</x:v>
      </x:c>
      <x:c r="F341" s="2" t="s">
        <x:v>17</x:v>
      </x:c>
      <x:c r="G341" s="3">
        <x:v>486</x:v>
      </x:c>
      <x:c r="H341" s="2" t="s">
        <x:v>18</x:v>
      </x:c>
      <x:c r="I341" s="7">
        <x:v>2745.9</x:v>
      </x:c>
      <x:c r="J341" s="2"/>
      <x:c r="K341" s="5" t="e">
        <x:f>Tabela1[[#This Row],[Estoque total]]-Tabela1[[#This Row],[Consumo]]</x:f>
        <x:v>#VALUE!</x:v>
      </x:c>
      <x:c r="L341" s="9" t="e">
        <x:f>(Tabela1[[#This Row],[Valor total]]/Tabela1[[#This Row],[Estoque total]])*Tabela1[[#This Row],[Consumo]]</x:f>
        <x:v>#VALUE!</x:v>
      </x:c>
    </x:row>
    <x:row r="342">
      <x:c r="A342" s="2" t="s">
        <x:v>682</x:v>
      </x:c>
      <x:c r="B342" s="2" t="s">
        <x:v>683</x:v>
      </x:c>
      <x:c r="C342" s="2" t="s">
        <x:v>14</x:v>
      </x:c>
      <x:c r="D342" s="2" t="s">
        <x:v>15</x:v>
      </x:c>
      <x:c r="E342" s="2" t="s">
        <x:v>16</x:v>
      </x:c>
      <x:c r="F342" s="2" t="s">
        <x:v>31</x:v>
      </x:c>
      <x:c r="G342" s="3">
        <x:v>295</x:v>
      </x:c>
      <x:c r="H342" s="2" t="s">
        <x:v>18</x:v>
      </x:c>
      <x:c r="I342" s="7">
        <x:v>796.5</x:v>
      </x:c>
      <x:c r="J342" s="2"/>
      <x:c r="K342" s="5" t="e">
        <x:f>Tabela1[[#This Row],[Estoque total]]-Tabela1[[#This Row],[Consumo]]</x:f>
        <x:v>#VALUE!</x:v>
      </x:c>
      <x:c r="L342" s="9" t="e">
        <x:f>(Tabela1[[#This Row],[Valor total]]/Tabela1[[#This Row],[Estoque total]])*Tabela1[[#This Row],[Consumo]]</x:f>
        <x:v>#VALUE!</x:v>
      </x:c>
    </x:row>
    <x:row r="343">
      <x:c r="A343" s="2" t="s">
        <x:v>682</x:v>
      </x:c>
      <x:c r="B343" s="2" t="s">
        <x:v>683</x:v>
      </x:c>
      <x:c r="C343" s="2" t="s">
        <x:v>14</x:v>
      </x:c>
      <x:c r="D343" s="2" t="s">
        <x:v>15</x:v>
      </x:c>
      <x:c r="E343" s="2" t="s">
        <x:v>16</x:v>
      </x:c>
      <x:c r="F343" s="2" t="s">
        <x:v>17</x:v>
      </x:c>
      <x:c r="G343" s="3">
        <x:v>3000</x:v>
      </x:c>
      <x:c r="H343" s="2" t="s">
        <x:v>18</x:v>
      </x:c>
      <x:c r="I343" s="7">
        <x:v>8100</x:v>
      </x:c>
      <x:c r="J343" s="2"/>
      <x:c r="K343" s="5" t="e">
        <x:f>Tabela1[[#This Row],[Estoque total]]-Tabela1[[#This Row],[Consumo]]</x:f>
        <x:v>#VALUE!</x:v>
      </x:c>
      <x:c r="L343" s="9" t="e">
        <x:f>(Tabela1[[#This Row],[Valor total]]/Tabela1[[#This Row],[Estoque total]])*Tabela1[[#This Row],[Consumo]]</x:f>
        <x:v>#VALUE!</x:v>
      </x:c>
    </x:row>
    <x:row r="344">
      <x:c r="A344" s="2" t="s">
        <x:v>684</x:v>
      </x:c>
      <x:c r="B344" s="2" t="s">
        <x:v>685</x:v>
      </x:c>
      <x:c r="C344" s="2" t="s">
        <x:v>14</x:v>
      </x:c>
      <x:c r="D344" s="2" t="s">
        <x:v>15</x:v>
      </x:c>
      <x:c r="E344" s="2" t="s">
        <x:v>16</x:v>
      </x:c>
      <x:c r="F344" s="2" t="s">
        <x:v>17</x:v>
      </x:c>
      <x:c r="G344" s="3">
        <x:v>21</x:v>
      </x:c>
      <x:c r="H344" s="2" t="s">
        <x:v>18</x:v>
      </x:c>
      <x:c r="I344" s="7">
        <x:v>1131.9000000000001</x:v>
      </x:c>
      <x:c r="J344" s="2"/>
      <x:c r="K344" s="5" t="e">
        <x:f>Tabela1[[#This Row],[Estoque total]]-Tabela1[[#This Row],[Consumo]]</x:f>
        <x:v>#VALUE!</x:v>
      </x:c>
      <x:c r="L344" s="9" t="e">
        <x:f>(Tabela1[[#This Row],[Valor total]]/Tabela1[[#This Row],[Estoque total]])*Tabela1[[#This Row],[Consumo]]</x:f>
        <x:v>#VALUE!</x:v>
      </x:c>
    </x:row>
    <x:row r="345">
      <x:c r="A345" s="2" t="s">
        <x:v>686</x:v>
      </x:c>
      <x:c r="B345" s="2" t="s">
        <x:v>687</x:v>
      </x:c>
      <x:c r="C345" s="2" t="s">
        <x:v>688</x:v>
      </x:c>
      <x:c r="D345" s="2" t="s">
        <x:v>15</x:v>
      </x:c>
      <x:c r="E345" s="2" t="s">
        <x:v>16</x:v>
      </x:c>
      <x:c r="F345" s="2" t="s">
        <x:v>17</x:v>
      </x:c>
      <x:c r="G345" s="3">
        <x:v>1560</x:v>
      </x:c>
      <x:c r="H345" s="2" t="s">
        <x:v>18</x:v>
      </x:c>
      <x:c r="I345" s="7">
        <x:v>1840.8</x:v>
      </x:c>
      <x:c r="J345" s="2"/>
      <x:c r="K345" s="5" t="e">
        <x:f>Tabela1[[#This Row],[Estoque total]]-Tabela1[[#This Row],[Consumo]]</x:f>
        <x:v>#VALUE!</x:v>
      </x:c>
      <x:c r="L345" s="9" t="e">
        <x:f>(Tabela1[[#This Row],[Valor total]]/Tabela1[[#This Row],[Estoque total]])*Tabela1[[#This Row],[Consumo]]</x:f>
        <x:v>#VALUE!</x:v>
      </x:c>
    </x:row>
    <x:row r="346">
      <x:c r="A346" s="2" t="s">
        <x:v>689</x:v>
      </x:c>
      <x:c r="B346" s="2" t="s">
        <x:v>690</x:v>
      </x:c>
      <x:c r="C346" s="2" t="s">
        <x:v>14</x:v>
      </x:c>
      <x:c r="D346" s="2" t="s">
        <x:v>15</x:v>
      </x:c>
      <x:c r="E346" s="2" t="s">
        <x:v>16</x:v>
      </x:c>
      <x:c r="F346" s="2" t="s">
        <x:v>31</x:v>
      </x:c>
      <x:c r="G346" s="3">
        <x:v>8</x:v>
      </x:c>
      <x:c r="H346" s="2" t="s">
        <x:v>18</x:v>
      </x:c>
      <x:c r="I346" s="7">
        <x:v>11.12</x:v>
      </x:c>
      <x:c r="J346" s="2"/>
      <x:c r="K346" s="5" t="e">
        <x:f>Tabela1[[#This Row],[Estoque total]]-Tabela1[[#This Row],[Consumo]]</x:f>
        <x:v>#VALUE!</x:v>
      </x:c>
      <x:c r="L346" s="9" t="e">
        <x:f>(Tabela1[[#This Row],[Valor total]]/Tabela1[[#This Row],[Estoque total]])*Tabela1[[#This Row],[Consumo]]</x:f>
        <x:v>#VALUE!</x:v>
      </x:c>
    </x:row>
    <x:row r="347">
      <x:c r="A347" s="2" t="s">
        <x:v>691</x:v>
      </x:c>
      <x:c r="B347" s="2" t="s">
        <x:v>692</x:v>
      </x:c>
      <x:c r="C347" s="2" t="s">
        <x:v>14</x:v>
      </x:c>
      <x:c r="D347" s="2" t="s">
        <x:v>15</x:v>
      </x:c>
      <x:c r="E347" s="2" t="s">
        <x:v>16</x:v>
      </x:c>
      <x:c r="F347" s="2" t="s">
        <x:v>31</x:v>
      </x:c>
      <x:c r="G347" s="3">
        <x:v>8</x:v>
      </x:c>
      <x:c r="H347" s="2" t="s">
        <x:v>18</x:v>
      </x:c>
      <x:c r="I347" s="7">
        <x:v>11.12</x:v>
      </x:c>
      <x:c r="J347" s="2"/>
      <x:c r="K347" s="5" t="e">
        <x:f>Tabela1[[#This Row],[Estoque total]]-Tabela1[[#This Row],[Consumo]]</x:f>
        <x:v>#VALUE!</x:v>
      </x:c>
      <x:c r="L347" s="9" t="e">
        <x:f>(Tabela1[[#This Row],[Valor total]]/Tabela1[[#This Row],[Estoque total]])*Tabela1[[#This Row],[Consumo]]</x:f>
        <x:v>#VALUE!</x:v>
      </x:c>
    </x:row>
    <x:row r="348">
      <x:c r="A348" s="2" t="s">
        <x:v>693</x:v>
      </x:c>
      <x:c r="B348" s="2" t="s">
        <x:v>694</x:v>
      </x:c>
      <x:c r="C348" s="2" t="s">
        <x:v>14</x:v>
      </x:c>
      <x:c r="D348" s="2" t="s">
        <x:v>15</x:v>
      </x:c>
      <x:c r="E348" s="2" t="s">
        <x:v>16</x:v>
      </x:c>
      <x:c r="F348" s="2" t="s">
        <x:v>31</x:v>
      </x:c>
      <x:c r="G348" s="3">
        <x:v>10</x:v>
      </x:c>
      <x:c r="H348" s="2" t="s">
        <x:v>18</x:v>
      </x:c>
      <x:c r="I348" s="7">
        <x:v>13.9</x:v>
      </x:c>
      <x:c r="J348" s="2"/>
      <x:c r="K348" s="5" t="e">
        <x:f>Tabela1[[#This Row],[Estoque total]]-Tabela1[[#This Row],[Consumo]]</x:f>
        <x:v>#VALUE!</x:v>
      </x:c>
      <x:c r="L348" s="9" t="e">
        <x:f>(Tabela1[[#This Row],[Valor total]]/Tabela1[[#This Row],[Estoque total]])*Tabela1[[#This Row],[Consumo]]</x:f>
        <x:v>#VALUE!</x:v>
      </x:c>
    </x:row>
    <x:row r="349">
      <x:c r="A349" s="2" t="s">
        <x:v>695</x:v>
      </x:c>
      <x:c r="B349" s="2" t="s">
        <x:v>696</x:v>
      </x:c>
      <x:c r="C349" s="2" t="s">
        <x:v>14</x:v>
      </x:c>
      <x:c r="D349" s="2" t="s">
        <x:v>15</x:v>
      </x:c>
      <x:c r="E349" s="2" t="s">
        <x:v>16</x:v>
      </x:c>
      <x:c r="F349" s="2" t="s">
        <x:v>31</x:v>
      </x:c>
      <x:c r="G349" s="3">
        <x:v>10</x:v>
      </x:c>
      <x:c r="H349" s="2" t="s">
        <x:v>18</x:v>
      </x:c>
      <x:c r="I349" s="7">
        <x:v>13.9</x:v>
      </x:c>
      <x:c r="J349" s="2"/>
      <x:c r="K349" s="5" t="e">
        <x:f>Tabela1[[#This Row],[Estoque total]]-Tabela1[[#This Row],[Consumo]]</x:f>
        <x:v>#VALUE!</x:v>
      </x:c>
      <x:c r="L349" s="9" t="e">
        <x:f>(Tabela1[[#This Row],[Valor total]]/Tabela1[[#This Row],[Estoque total]])*Tabela1[[#This Row],[Consumo]]</x:f>
        <x:v>#VALUE!</x:v>
      </x:c>
    </x:row>
    <x:row r="350">
      <x:c r="A350" s="2" t="s">
        <x:v>697</x:v>
      </x:c>
      <x:c r="B350" s="2" t="s">
        <x:v>698</x:v>
      </x:c>
      <x:c r="C350" s="2" t="s">
        <x:v>14</x:v>
      </x:c>
      <x:c r="D350" s="2" t="s">
        <x:v>15</x:v>
      </x:c>
      <x:c r="E350" s="2" t="s">
        <x:v>16</x:v>
      </x:c>
      <x:c r="F350" s="2" t="s">
        <x:v>31</x:v>
      </x:c>
      <x:c r="G350" s="3">
        <x:v>10</x:v>
      </x:c>
      <x:c r="H350" s="2" t="s">
        <x:v>18</x:v>
      </x:c>
      <x:c r="I350" s="7">
        <x:v>13.9</x:v>
      </x:c>
      <x:c r="J350" s="2"/>
      <x:c r="K350" s="5" t="e">
        <x:f>Tabela1[[#This Row],[Estoque total]]-Tabela1[[#This Row],[Consumo]]</x:f>
        <x:v>#VALUE!</x:v>
      </x:c>
      <x:c r="L350" s="9" t="e">
        <x:f>(Tabela1[[#This Row],[Valor total]]/Tabela1[[#This Row],[Estoque total]])*Tabela1[[#This Row],[Consumo]]</x:f>
        <x:v>#VALUE!</x:v>
      </x:c>
    </x:row>
    <x:row r="351">
      <x:c r="A351" s="2" t="s">
        <x:v>699</x:v>
      </x:c>
      <x:c r="B351" s="2" t="s">
        <x:v>700</x:v>
      </x:c>
      <x:c r="C351" s="2" t="s">
        <x:v>14</x:v>
      </x:c>
      <x:c r="D351" s="2" t="s">
        <x:v>15</x:v>
      </x:c>
      <x:c r="E351" s="2" t="s">
        <x:v>16</x:v>
      </x:c>
      <x:c r="F351" s="2" t="s">
        <x:v>31</x:v>
      </x:c>
      <x:c r="G351" s="3">
        <x:v>10</x:v>
      </x:c>
      <x:c r="H351" s="2" t="s">
        <x:v>18</x:v>
      </x:c>
      <x:c r="I351" s="7">
        <x:v>13.9</x:v>
      </x:c>
      <x:c r="J351" s="2"/>
      <x:c r="K351" s="5" t="e">
        <x:f>Tabela1[[#This Row],[Estoque total]]-Tabela1[[#This Row],[Consumo]]</x:f>
        <x:v>#VALUE!</x:v>
      </x:c>
      <x:c r="L351" s="9" t="e">
        <x:f>(Tabela1[[#This Row],[Valor total]]/Tabela1[[#This Row],[Estoque total]])*Tabela1[[#This Row],[Consumo]]</x:f>
        <x:v>#VALUE!</x:v>
      </x:c>
    </x:row>
    <x:row r="352">
      <x:c r="A352" s="2" t="s">
        <x:v>701</x:v>
      </x:c>
      <x:c r="B352" s="2" t="s">
        <x:v>702</x:v>
      </x:c>
      <x:c r="C352" s="2" t="s">
        <x:v>14</x:v>
      </x:c>
      <x:c r="D352" s="2" t="s">
        <x:v>15</x:v>
      </x:c>
      <x:c r="E352" s="2" t="s">
        <x:v>16</x:v>
      </x:c>
      <x:c r="F352" s="2" t="s">
        <x:v>31</x:v>
      </x:c>
      <x:c r="G352" s="3">
        <x:v>10</x:v>
      </x:c>
      <x:c r="H352" s="2" t="s">
        <x:v>18</x:v>
      </x:c>
      <x:c r="I352" s="7">
        <x:v>13.9</x:v>
      </x:c>
      <x:c r="J352" s="2"/>
      <x:c r="K352" s="5" t="e">
        <x:f>Tabela1[[#This Row],[Estoque total]]-Tabela1[[#This Row],[Consumo]]</x:f>
        <x:v>#VALUE!</x:v>
      </x:c>
      <x:c r="L352" s="9" t="e">
        <x:f>(Tabela1[[#This Row],[Valor total]]/Tabela1[[#This Row],[Estoque total]])*Tabela1[[#This Row],[Consumo]]</x:f>
        <x:v>#VALUE!</x:v>
      </x:c>
    </x:row>
    <x:row r="353">
      <x:c r="A353" s="2" t="s">
        <x:v>703</x:v>
      </x:c>
      <x:c r="B353" s="2" t="s">
        <x:v>704</x:v>
      </x:c>
      <x:c r="C353" s="2" t="s">
        <x:v>14</x:v>
      </x:c>
      <x:c r="D353" s="2" t="s">
        <x:v>15</x:v>
      </x:c>
      <x:c r="E353" s="2" t="s">
        <x:v>16</x:v>
      </x:c>
      <x:c r="F353" s="2" t="s">
        <x:v>31</x:v>
      </x:c>
      <x:c r="G353" s="3">
        <x:v>10</x:v>
      </x:c>
      <x:c r="H353" s="2" t="s">
        <x:v>18</x:v>
      </x:c>
      <x:c r="I353" s="7">
        <x:v>13.9</x:v>
      </x:c>
      <x:c r="J353" s="2"/>
      <x:c r="K353" s="5" t="e">
        <x:f>Tabela1[[#This Row],[Estoque total]]-Tabela1[[#This Row],[Consumo]]</x:f>
        <x:v>#VALUE!</x:v>
      </x:c>
      <x:c r="L353" s="9" t="e">
        <x:f>(Tabela1[[#This Row],[Valor total]]/Tabela1[[#This Row],[Estoque total]])*Tabela1[[#This Row],[Consumo]]</x:f>
        <x:v>#VALUE!</x:v>
      </x:c>
    </x:row>
    <x:row r="354">
      <x:c r="A354" s="2" t="s">
        <x:v>705</x:v>
      </x:c>
      <x:c r="B354" s="2" t="s">
        <x:v>706</x:v>
      </x:c>
      <x:c r="C354" s="2" t="s">
        <x:v>14</x:v>
      </x:c>
      <x:c r="D354" s="2" t="s">
        <x:v>15</x:v>
      </x:c>
      <x:c r="E354" s="2" t="s">
        <x:v>16</x:v>
      </x:c>
      <x:c r="F354" s="2" t="s">
        <x:v>31</x:v>
      </x:c>
      <x:c r="G354" s="3">
        <x:v>10</x:v>
      </x:c>
      <x:c r="H354" s="2" t="s">
        <x:v>18</x:v>
      </x:c>
      <x:c r="I354" s="7">
        <x:v>13.9</x:v>
      </x:c>
      <x:c r="J354" s="2"/>
      <x:c r="K354" s="5" t="e">
        <x:f>Tabela1[[#This Row],[Estoque total]]-Tabela1[[#This Row],[Consumo]]</x:f>
        <x:v>#VALUE!</x:v>
      </x:c>
      <x:c r="L354" s="9" t="e">
        <x:f>(Tabela1[[#This Row],[Valor total]]/Tabela1[[#This Row],[Estoque total]])*Tabela1[[#This Row],[Consumo]]</x:f>
        <x:v>#VALUE!</x:v>
      </x:c>
    </x:row>
    <x:row r="355">
      <x:c r="A355" s="2" t="s">
        <x:v>707</x:v>
      </x:c>
      <x:c r="B355" s="2" t="s">
        <x:v>708</x:v>
      </x:c>
      <x:c r="C355" s="2" t="s">
        <x:v>14</x:v>
      </x:c>
      <x:c r="D355" s="2" t="s">
        <x:v>15</x:v>
      </x:c>
      <x:c r="E355" s="2" t="s">
        <x:v>16</x:v>
      </x:c>
      <x:c r="F355" s="2" t="s">
        <x:v>31</x:v>
      </x:c>
      <x:c r="G355" s="3">
        <x:v>10</x:v>
      </x:c>
      <x:c r="H355" s="2" t="s">
        <x:v>18</x:v>
      </x:c>
      <x:c r="I355" s="7">
        <x:v>13.9</x:v>
      </x:c>
      <x:c r="J355" s="2"/>
      <x:c r="K355" s="5" t="e">
        <x:f>Tabela1[[#This Row],[Estoque total]]-Tabela1[[#This Row],[Consumo]]</x:f>
        <x:v>#VALUE!</x:v>
      </x:c>
      <x:c r="L355" s="9" t="e">
        <x:f>(Tabela1[[#This Row],[Valor total]]/Tabela1[[#This Row],[Estoque total]])*Tabela1[[#This Row],[Consumo]]</x:f>
        <x:v>#VALUE!</x:v>
      </x:c>
    </x:row>
    <x:row r="356">
      <x:c r="A356" s="2" t="s">
        <x:v>709</x:v>
      </x:c>
      <x:c r="B356" s="2" t="s">
        <x:v>710</x:v>
      </x:c>
      <x:c r="C356" s="2" t="s">
        <x:v>14</x:v>
      </x:c>
      <x:c r="D356" s="2" t="s">
        <x:v>15</x:v>
      </x:c>
      <x:c r="E356" s="2" t="s">
        <x:v>16</x:v>
      </x:c>
      <x:c r="F356" s="2" t="s">
        <x:v>31</x:v>
      </x:c>
      <x:c r="G356" s="3">
        <x:v>10</x:v>
      </x:c>
      <x:c r="H356" s="2" t="s">
        <x:v>18</x:v>
      </x:c>
      <x:c r="I356" s="7">
        <x:v>13.9</x:v>
      </x:c>
      <x:c r="J356" s="2"/>
      <x:c r="K356" s="5" t="e">
        <x:f>Tabela1[[#This Row],[Estoque total]]-Tabela1[[#This Row],[Consumo]]</x:f>
        <x:v>#VALUE!</x:v>
      </x:c>
      <x:c r="L356" s="9" t="e">
        <x:f>(Tabela1[[#This Row],[Valor total]]/Tabela1[[#This Row],[Estoque total]])*Tabela1[[#This Row],[Consumo]]</x:f>
        <x:v>#VALUE!</x:v>
      </x:c>
    </x:row>
    <x:row r="357">
      <x:c r="A357" s="2" t="s">
        <x:v>711</x:v>
      </x:c>
      <x:c r="B357" s="2" t="s">
        <x:v>712</x:v>
      </x:c>
      <x:c r="C357" s="2" t="s">
        <x:v>14</x:v>
      </x:c>
      <x:c r="D357" s="2" t="s">
        <x:v>15</x:v>
      </x:c>
      <x:c r="E357" s="2" t="s">
        <x:v>16</x:v>
      </x:c>
      <x:c r="F357" s="2" t="s">
        <x:v>31</x:v>
      </x:c>
      <x:c r="G357" s="3">
        <x:v>10</x:v>
      </x:c>
      <x:c r="H357" s="2" t="s">
        <x:v>18</x:v>
      </x:c>
      <x:c r="I357" s="7">
        <x:v>13.9</x:v>
      </x:c>
      <x:c r="J357" s="2"/>
      <x:c r="K357" s="5" t="e">
        <x:f>Tabela1[[#This Row],[Estoque total]]-Tabela1[[#This Row],[Consumo]]</x:f>
        <x:v>#VALUE!</x:v>
      </x:c>
      <x:c r="L357" s="9" t="e">
        <x:f>(Tabela1[[#This Row],[Valor total]]/Tabela1[[#This Row],[Estoque total]])*Tabela1[[#This Row],[Consumo]]</x:f>
        <x:v>#VALUE!</x:v>
      </x:c>
    </x:row>
    <x:row r="358">
      <x:c r="A358" s="2" t="s">
        <x:v>713</x:v>
      </x:c>
      <x:c r="B358" s="2" t="s">
        <x:v>714</x:v>
      </x:c>
      <x:c r="C358" s="2" t="s">
        <x:v>14</x:v>
      </x:c>
      <x:c r="D358" s="2" t="s">
        <x:v>15</x:v>
      </x:c>
      <x:c r="E358" s="2" t="s">
        <x:v>16</x:v>
      </x:c>
      <x:c r="F358" s="2" t="s">
        <x:v>31</x:v>
      </x:c>
      <x:c r="G358" s="3">
        <x:v>10</x:v>
      </x:c>
      <x:c r="H358" s="2" t="s">
        <x:v>18</x:v>
      </x:c>
      <x:c r="I358" s="7">
        <x:v>13.9</x:v>
      </x:c>
      <x:c r="J358" s="2"/>
      <x:c r="K358" s="5" t="e">
        <x:f>Tabela1[[#This Row],[Estoque total]]-Tabela1[[#This Row],[Consumo]]</x:f>
        <x:v>#VALUE!</x:v>
      </x:c>
      <x:c r="L358" s="9" t="e">
        <x:f>(Tabela1[[#This Row],[Valor total]]/Tabela1[[#This Row],[Estoque total]])*Tabela1[[#This Row],[Consumo]]</x:f>
        <x:v>#VALUE!</x:v>
      </x:c>
    </x:row>
    <x:row r="359">
      <x:c r="A359" s="2" t="s">
        <x:v>715</x:v>
      </x:c>
      <x:c r="B359" s="2" t="s">
        <x:v>716</x:v>
      </x:c>
      <x:c r="C359" s="2" t="s">
        <x:v>14</x:v>
      </x:c>
      <x:c r="D359" s="2" t="s">
        <x:v>15</x:v>
      </x:c>
      <x:c r="E359" s="2" t="s">
        <x:v>16</x:v>
      </x:c>
      <x:c r="F359" s="2" t="s">
        <x:v>31</x:v>
      </x:c>
      <x:c r="G359" s="3">
        <x:v>3</x:v>
      </x:c>
      <x:c r="H359" s="2" t="s">
        <x:v>18</x:v>
      </x:c>
      <x:c r="I359" s="7">
        <x:v>4.17</x:v>
      </x:c>
      <x:c r="J359" s="2"/>
      <x:c r="K359" s="5" t="e">
        <x:f>Tabela1[[#This Row],[Estoque total]]-Tabela1[[#This Row],[Consumo]]</x:f>
        <x:v>#VALUE!</x:v>
      </x:c>
      <x:c r="L359" s="9" t="e">
        <x:f>(Tabela1[[#This Row],[Valor total]]/Tabela1[[#This Row],[Estoque total]])*Tabela1[[#This Row],[Consumo]]</x:f>
        <x:v>#VALUE!</x:v>
      </x:c>
    </x:row>
    <x:row r="360">
      <x:c r="A360" s="2" t="s">
        <x:v>717</x:v>
      </x:c>
      <x:c r="B360" s="2" t="s">
        <x:v>718</x:v>
      </x:c>
      <x:c r="C360" s="2" t="s">
        <x:v>14</x:v>
      </x:c>
      <x:c r="D360" s="2" t="s">
        <x:v>15</x:v>
      </x:c>
      <x:c r="E360" s="2" t="s">
        <x:v>16</x:v>
      </x:c>
      <x:c r="F360" s="2" t="s">
        <x:v>31</x:v>
      </x:c>
      <x:c r="G360" s="3">
        <x:v>10</x:v>
      </x:c>
      <x:c r="H360" s="2" t="s">
        <x:v>18</x:v>
      </x:c>
      <x:c r="I360" s="7">
        <x:v>13.9</x:v>
      </x:c>
      <x:c r="J360" s="2"/>
      <x:c r="K360" s="5" t="e">
        <x:f>Tabela1[[#This Row],[Estoque total]]-Tabela1[[#This Row],[Consumo]]</x:f>
        <x:v>#VALUE!</x:v>
      </x:c>
      <x:c r="L360" s="9" t="e">
        <x:f>(Tabela1[[#This Row],[Valor total]]/Tabela1[[#This Row],[Estoque total]])*Tabela1[[#This Row],[Consumo]]</x:f>
        <x:v>#VALUE!</x:v>
      </x:c>
    </x:row>
    <x:row r="361">
      <x:c r="A361" s="2" t="s">
        <x:v>719</x:v>
      </x:c>
      <x:c r="B361" s="2" t="s">
        <x:v>720</x:v>
      </x:c>
      <x:c r="C361" s="2" t="s">
        <x:v>14</x:v>
      </x:c>
      <x:c r="D361" s="2" t="s">
        <x:v>15</x:v>
      </x:c>
      <x:c r="E361" s="2" t="s">
        <x:v>16</x:v>
      </x:c>
      <x:c r="F361" s="2" t="s">
        <x:v>31</x:v>
      </x:c>
      <x:c r="G361" s="3">
        <x:v>5</x:v>
      </x:c>
      <x:c r="H361" s="2" t="s">
        <x:v>18</x:v>
      </x:c>
      <x:c r="I361" s="7">
        <x:v>6.95</x:v>
      </x:c>
      <x:c r="J361" s="2"/>
      <x:c r="K361" s="5" t="e">
        <x:f>Tabela1[[#This Row],[Estoque total]]-Tabela1[[#This Row],[Consumo]]</x:f>
        <x:v>#VALUE!</x:v>
      </x:c>
      <x:c r="L361" s="9" t="e">
        <x:f>(Tabela1[[#This Row],[Valor total]]/Tabela1[[#This Row],[Estoque total]])*Tabela1[[#This Row],[Consumo]]</x:f>
        <x:v>#VALUE!</x:v>
      </x:c>
    </x:row>
    <x:row r="362">
      <x:c r="A362" s="2" t="s">
        <x:v>721</x:v>
      </x:c>
      <x:c r="B362" s="2" t="s">
        <x:v>722</x:v>
      </x:c>
      <x:c r="C362" s="2" t="s">
        <x:v>14</x:v>
      </x:c>
      <x:c r="D362" s="2" t="s">
        <x:v>15</x:v>
      </x:c>
      <x:c r="E362" s="2" t="s">
        <x:v>16</x:v>
      </x:c>
      <x:c r="F362" s="2" t="s">
        <x:v>31</x:v>
      </x:c>
      <x:c r="G362" s="3">
        <x:v>5</x:v>
      </x:c>
      <x:c r="H362" s="2" t="s">
        <x:v>18</x:v>
      </x:c>
      <x:c r="I362" s="7">
        <x:v>6.95</x:v>
      </x:c>
      <x:c r="J362" s="2"/>
      <x:c r="K362" s="5" t="e">
        <x:f>Tabela1[[#This Row],[Estoque total]]-Tabela1[[#This Row],[Consumo]]</x:f>
        <x:v>#VALUE!</x:v>
      </x:c>
      <x:c r="L362" s="9" t="e">
        <x:f>(Tabela1[[#This Row],[Valor total]]/Tabela1[[#This Row],[Estoque total]])*Tabela1[[#This Row],[Consumo]]</x:f>
        <x:v>#VALUE!</x:v>
      </x:c>
    </x:row>
    <x:row r="363">
      <x:c r="A363" s="2" t="s">
        <x:v>723</x:v>
      </x:c>
      <x:c r="B363" s="2" t="s">
        <x:v>724</x:v>
      </x:c>
      <x:c r="C363" s="2" t="s">
        <x:v>14</x:v>
      </x:c>
      <x:c r="D363" s="2" t="s">
        <x:v>15</x:v>
      </x:c>
      <x:c r="E363" s="2" t="s">
        <x:v>16</x:v>
      </x:c>
      <x:c r="F363" s="2" t="s">
        <x:v>31</x:v>
      </x:c>
      <x:c r="G363" s="3">
        <x:v>5</x:v>
      </x:c>
      <x:c r="H363" s="2" t="s">
        <x:v>18</x:v>
      </x:c>
      <x:c r="I363" s="7">
        <x:v>6.95</x:v>
      </x:c>
      <x:c r="J363" s="2"/>
      <x:c r="K363" s="5" t="e">
        <x:f>Tabela1[[#This Row],[Estoque total]]-Tabela1[[#This Row],[Consumo]]</x:f>
        <x:v>#VALUE!</x:v>
      </x:c>
      <x:c r="L363" s="9" t="e">
        <x:f>(Tabela1[[#This Row],[Valor total]]/Tabela1[[#This Row],[Estoque total]])*Tabela1[[#This Row],[Consumo]]</x:f>
        <x:v>#VALUE!</x:v>
      </x:c>
    </x:row>
    <x:row r="364">
      <x:c r="A364" s="2" t="s">
        <x:v>725</x:v>
      </x:c>
      <x:c r="B364" s="2" t="s">
        <x:v>726</x:v>
      </x:c>
      <x:c r="C364" s="2" t="s">
        <x:v>14</x:v>
      </x:c>
      <x:c r="D364" s="2" t="s">
        <x:v>15</x:v>
      </x:c>
      <x:c r="E364" s="2" t="s">
        <x:v>16</x:v>
      </x:c>
      <x:c r="F364" s="2" t="s">
        <x:v>31</x:v>
      </x:c>
      <x:c r="G364" s="3">
        <x:v>10</x:v>
      </x:c>
      <x:c r="H364" s="2" t="s">
        <x:v>18</x:v>
      </x:c>
      <x:c r="I364" s="7">
        <x:v>13.9</x:v>
      </x:c>
      <x:c r="J364" s="2"/>
      <x:c r="K364" s="5" t="e">
        <x:f>Tabela1[[#This Row],[Estoque total]]-Tabela1[[#This Row],[Consumo]]</x:f>
        <x:v>#VALUE!</x:v>
      </x:c>
      <x:c r="L364" s="9" t="e">
        <x:f>(Tabela1[[#This Row],[Valor total]]/Tabela1[[#This Row],[Estoque total]])*Tabela1[[#This Row],[Consumo]]</x:f>
        <x:v>#VALUE!</x:v>
      </x:c>
    </x:row>
    <x:row r="365">
      <x:c r="A365" s="2" t="s">
        <x:v>727</x:v>
      </x:c>
      <x:c r="B365" s="2" t="s">
        <x:v>728</x:v>
      </x:c>
      <x:c r="C365" s="2" t="s">
        <x:v>14</x:v>
      </x:c>
      <x:c r="D365" s="2" t="s">
        <x:v>15</x:v>
      </x:c>
      <x:c r="E365" s="2" t="s">
        <x:v>16</x:v>
      </x:c>
      <x:c r="F365" s="2" t="s">
        <x:v>31</x:v>
      </x:c>
      <x:c r="G365" s="3">
        <x:v>10</x:v>
      </x:c>
      <x:c r="H365" s="2" t="s">
        <x:v>18</x:v>
      </x:c>
      <x:c r="I365" s="7">
        <x:v>13.9</x:v>
      </x:c>
      <x:c r="J365" s="2"/>
      <x:c r="K365" s="5" t="e">
        <x:f>Tabela1[[#This Row],[Estoque total]]-Tabela1[[#This Row],[Consumo]]</x:f>
        <x:v>#VALUE!</x:v>
      </x:c>
      <x:c r="L365" s="9" t="e">
        <x:f>(Tabela1[[#This Row],[Valor total]]/Tabela1[[#This Row],[Estoque total]])*Tabela1[[#This Row],[Consumo]]</x:f>
        <x:v>#VALUE!</x:v>
      </x:c>
    </x:row>
    <x:row r="366">
      <x:c r="A366" s="2" t="s">
        <x:v>729</x:v>
      </x:c>
      <x:c r="B366" s="2" t="s">
        <x:v>730</x:v>
      </x:c>
      <x:c r="C366" s="2" t="s">
        <x:v>14</x:v>
      </x:c>
      <x:c r="D366" s="2" t="s">
        <x:v>15</x:v>
      </x:c>
      <x:c r="E366" s="2" t="s">
        <x:v>16</x:v>
      </x:c>
      <x:c r="F366" s="2" t="s">
        <x:v>31</x:v>
      </x:c>
      <x:c r="G366" s="3">
        <x:v>10</x:v>
      </x:c>
      <x:c r="H366" s="2" t="s">
        <x:v>18</x:v>
      </x:c>
      <x:c r="I366" s="7">
        <x:v>13.9</x:v>
      </x:c>
      <x:c r="J366" s="2"/>
      <x:c r="K366" s="5" t="e">
        <x:f>Tabela1[[#This Row],[Estoque total]]-Tabela1[[#This Row],[Consumo]]</x:f>
        <x:v>#VALUE!</x:v>
      </x:c>
      <x:c r="L366" s="9" t="e">
        <x:f>(Tabela1[[#This Row],[Valor total]]/Tabela1[[#This Row],[Estoque total]])*Tabela1[[#This Row],[Consumo]]</x:f>
        <x:v>#VALUE!</x:v>
      </x:c>
    </x:row>
    <x:row r="367">
      <x:c r="A367" s="2" t="s">
        <x:v>731</x:v>
      </x:c>
      <x:c r="B367" s="2" t="s">
        <x:v>732</x:v>
      </x:c>
      <x:c r="C367" s="2" t="s">
        <x:v>14</x:v>
      </x:c>
      <x:c r="D367" s="2" t="s">
        <x:v>15</x:v>
      </x:c>
      <x:c r="E367" s="2" t="s">
        <x:v>16</x:v>
      </x:c>
      <x:c r="F367" s="2" t="s">
        <x:v>31</x:v>
      </x:c>
      <x:c r="G367" s="3">
        <x:v>10</x:v>
      </x:c>
      <x:c r="H367" s="2" t="s">
        <x:v>18</x:v>
      </x:c>
      <x:c r="I367" s="7">
        <x:v>13.9</x:v>
      </x:c>
      <x:c r="J367" s="2"/>
      <x:c r="K367" s="5" t="e">
        <x:f>Tabela1[[#This Row],[Estoque total]]-Tabela1[[#This Row],[Consumo]]</x:f>
        <x:v>#VALUE!</x:v>
      </x:c>
      <x:c r="L367" s="9" t="e">
        <x:f>(Tabela1[[#This Row],[Valor total]]/Tabela1[[#This Row],[Estoque total]])*Tabela1[[#This Row],[Consumo]]</x:f>
        <x:v>#VALUE!</x:v>
      </x:c>
    </x:row>
    <x:row r="368">
      <x:c r="A368" s="2" t="s">
        <x:v>733</x:v>
      </x:c>
      <x:c r="B368" s="2" t="s">
        <x:v>734</x:v>
      </x:c>
      <x:c r="C368" s="2" t="s">
        <x:v>14</x:v>
      </x:c>
      <x:c r="D368" s="2" t="s">
        <x:v>15</x:v>
      </x:c>
      <x:c r="E368" s="2" t="s">
        <x:v>16</x:v>
      </x:c>
      <x:c r="F368" s="2" t="s">
        <x:v>31</x:v>
      </x:c>
      <x:c r="G368" s="3">
        <x:v>10</x:v>
      </x:c>
      <x:c r="H368" s="2" t="s">
        <x:v>18</x:v>
      </x:c>
      <x:c r="I368" s="7">
        <x:v>13.9</x:v>
      </x:c>
      <x:c r="J368" s="2"/>
      <x:c r="K368" s="5" t="e">
        <x:f>Tabela1[[#This Row],[Estoque total]]-Tabela1[[#This Row],[Consumo]]</x:f>
        <x:v>#VALUE!</x:v>
      </x:c>
      <x:c r="L368" s="9" t="e">
        <x:f>(Tabela1[[#This Row],[Valor total]]/Tabela1[[#This Row],[Estoque total]])*Tabela1[[#This Row],[Consumo]]</x:f>
        <x:v>#VALUE!</x:v>
      </x:c>
    </x:row>
    <x:row r="369">
      <x:c r="A369" s="2" t="s">
        <x:v>735</x:v>
      </x:c>
      <x:c r="B369" s="2" t="s">
        <x:v>736</x:v>
      </x:c>
      <x:c r="C369" s="2" t="s">
        <x:v>14</x:v>
      </x:c>
      <x:c r="D369" s="2" t="s">
        <x:v>15</x:v>
      </x:c>
      <x:c r="E369" s="2" t="s">
        <x:v>16</x:v>
      </x:c>
      <x:c r="F369" s="2" t="s">
        <x:v>31</x:v>
      </x:c>
      <x:c r="G369" s="3">
        <x:v>10</x:v>
      </x:c>
      <x:c r="H369" s="2" t="s">
        <x:v>18</x:v>
      </x:c>
      <x:c r="I369" s="7">
        <x:v>13.9</x:v>
      </x:c>
      <x:c r="J369" s="2"/>
      <x:c r="K369" s="5" t="e">
        <x:f>Tabela1[[#This Row],[Estoque total]]-Tabela1[[#This Row],[Consumo]]</x:f>
        <x:v>#VALUE!</x:v>
      </x:c>
      <x:c r="L369" s="9" t="e">
        <x:f>(Tabela1[[#This Row],[Valor total]]/Tabela1[[#This Row],[Estoque total]])*Tabela1[[#This Row],[Consumo]]</x:f>
        <x:v>#VALUE!</x:v>
      </x:c>
    </x:row>
    <x:row r="370">
      <x:c r="A370" s="2" t="s">
        <x:v>737</x:v>
      </x:c>
      <x:c r="B370" s="2" t="s">
        <x:v>738</x:v>
      </x:c>
      <x:c r="C370" s="2" t="s">
        <x:v>14</x:v>
      </x:c>
      <x:c r="D370" s="2" t="s">
        <x:v>15</x:v>
      </x:c>
      <x:c r="E370" s="2" t="s">
        <x:v>16</x:v>
      </x:c>
      <x:c r="F370" s="2" t="s">
        <x:v>31</x:v>
      </x:c>
      <x:c r="G370" s="3">
        <x:v>10</x:v>
      </x:c>
      <x:c r="H370" s="2" t="s">
        <x:v>18</x:v>
      </x:c>
      <x:c r="I370" s="7">
        <x:v>13.9</x:v>
      </x:c>
      <x:c r="J370" s="2"/>
      <x:c r="K370" s="5" t="e">
        <x:f>Tabela1[[#This Row],[Estoque total]]-Tabela1[[#This Row],[Consumo]]</x:f>
        <x:v>#VALUE!</x:v>
      </x:c>
      <x:c r="L370" s="9" t="e">
        <x:f>(Tabela1[[#This Row],[Valor total]]/Tabela1[[#This Row],[Estoque total]])*Tabela1[[#This Row],[Consumo]]</x:f>
        <x:v>#VALUE!</x:v>
      </x:c>
    </x:row>
    <x:row r="371">
      <x:c r="A371" s="2" t="s">
        <x:v>739</x:v>
      </x:c>
      <x:c r="B371" s="2" t="s">
        <x:v>740</x:v>
      </x:c>
      <x:c r="C371" s="2" t="s">
        <x:v>14</x:v>
      </x:c>
      <x:c r="D371" s="2" t="s">
        <x:v>15</x:v>
      </x:c>
      <x:c r="E371" s="2" t="s">
        <x:v>16</x:v>
      </x:c>
      <x:c r="F371" s="2" t="s">
        <x:v>31</x:v>
      </x:c>
      <x:c r="G371" s="3">
        <x:v>10</x:v>
      </x:c>
      <x:c r="H371" s="2" t="s">
        <x:v>18</x:v>
      </x:c>
      <x:c r="I371" s="7">
        <x:v>13.9</x:v>
      </x:c>
      <x:c r="J371" s="2"/>
      <x:c r="K371" s="5" t="e">
        <x:f>Tabela1[[#This Row],[Estoque total]]-Tabela1[[#This Row],[Consumo]]</x:f>
        <x:v>#VALUE!</x:v>
      </x:c>
      <x:c r="L371" s="9" t="e">
        <x:f>(Tabela1[[#This Row],[Valor total]]/Tabela1[[#This Row],[Estoque total]])*Tabela1[[#This Row],[Consumo]]</x:f>
        <x:v>#VALUE!</x:v>
      </x:c>
    </x:row>
    <x:row r="372">
      <x:c r="A372" s="2" t="s">
        <x:v>741</x:v>
      </x:c>
      <x:c r="B372" s="2" t="s">
        <x:v>742</x:v>
      </x:c>
      <x:c r="C372" s="2" t="s">
        <x:v>14</x:v>
      </x:c>
      <x:c r="D372" s="2" t="s">
        <x:v>15</x:v>
      </x:c>
      <x:c r="E372" s="2" t="s">
        <x:v>16</x:v>
      </x:c>
      <x:c r="F372" s="2" t="s">
        <x:v>31</x:v>
      </x:c>
      <x:c r="G372" s="3">
        <x:v>9</x:v>
      </x:c>
      <x:c r="H372" s="2" t="s">
        <x:v>18</x:v>
      </x:c>
      <x:c r="I372" s="7">
        <x:v>12.51</x:v>
      </x:c>
      <x:c r="J372" s="2"/>
      <x:c r="K372" s="5" t="e">
        <x:f>Tabela1[[#This Row],[Estoque total]]-Tabela1[[#This Row],[Consumo]]</x:f>
        <x:v>#VALUE!</x:v>
      </x:c>
      <x:c r="L372" s="9" t="e">
        <x:f>(Tabela1[[#This Row],[Valor total]]/Tabela1[[#This Row],[Estoque total]])*Tabela1[[#This Row],[Consumo]]</x:f>
        <x:v>#VALUE!</x:v>
      </x:c>
    </x:row>
    <x:row r="373">
      <x:c r="A373" s="2" t="s">
        <x:v>743</x:v>
      </x:c>
      <x:c r="B373" s="2" t="s">
        <x:v>744</x:v>
      </x:c>
      <x:c r="C373" s="2" t="s">
        <x:v>14</x:v>
      </x:c>
      <x:c r="D373" s="2" t="s">
        <x:v>15</x:v>
      </x:c>
      <x:c r="E373" s="2" t="s">
        <x:v>16</x:v>
      </x:c>
      <x:c r="F373" s="2" t="s">
        <x:v>31</x:v>
      </x:c>
      <x:c r="G373" s="3">
        <x:v>8</x:v>
      </x:c>
      <x:c r="H373" s="2" t="s">
        <x:v>18</x:v>
      </x:c>
      <x:c r="I373" s="7">
        <x:v>11.12</x:v>
      </x:c>
      <x:c r="J373" s="2"/>
      <x:c r="K373" s="5" t="e">
        <x:f>Tabela1[[#This Row],[Estoque total]]-Tabela1[[#This Row],[Consumo]]</x:f>
        <x:v>#VALUE!</x:v>
      </x:c>
      <x:c r="L373" s="9" t="e">
        <x:f>(Tabela1[[#This Row],[Valor total]]/Tabela1[[#This Row],[Estoque total]])*Tabela1[[#This Row],[Consumo]]</x:f>
        <x:v>#VALUE!</x:v>
      </x:c>
    </x:row>
    <x:row r="374">
      <x:c r="A374" s="2" t="s">
        <x:v>745</x:v>
      </x:c>
      <x:c r="B374" s="2" t="s">
        <x:v>746</x:v>
      </x:c>
      <x:c r="C374" s="2" t="s">
        <x:v>14</x:v>
      </x:c>
      <x:c r="D374" s="2" t="s">
        <x:v>15</x:v>
      </x:c>
      <x:c r="E374" s="2" t="s">
        <x:v>16</x:v>
      </x:c>
      <x:c r="F374" s="2" t="s">
        <x:v>31</x:v>
      </x:c>
      <x:c r="G374" s="3">
        <x:v>8</x:v>
      </x:c>
      <x:c r="H374" s="2" t="s">
        <x:v>18</x:v>
      </x:c>
      <x:c r="I374" s="7">
        <x:v>11.12</x:v>
      </x:c>
      <x:c r="J374" s="2"/>
      <x:c r="K374" s="5" t="e">
        <x:f>Tabela1[[#This Row],[Estoque total]]-Tabela1[[#This Row],[Consumo]]</x:f>
        <x:v>#VALUE!</x:v>
      </x:c>
      <x:c r="L374" s="9" t="e">
        <x:f>(Tabela1[[#This Row],[Valor total]]/Tabela1[[#This Row],[Estoque total]])*Tabela1[[#This Row],[Consumo]]</x:f>
        <x:v>#VALUE!</x:v>
      </x:c>
    </x:row>
    <x:row r="375">
      <x:c r="A375" s="2" t="s">
        <x:v>747</x:v>
      </x:c>
      <x:c r="B375" s="2" t="s">
        <x:v>748</x:v>
      </x:c>
      <x:c r="C375" s="2" t="s">
        <x:v>14</x:v>
      </x:c>
      <x:c r="D375" s="2" t="s">
        <x:v>15</x:v>
      </x:c>
      <x:c r="E375" s="2" t="s">
        <x:v>16</x:v>
      </x:c>
      <x:c r="F375" s="2" t="s">
        <x:v>31</x:v>
      </x:c>
      <x:c r="G375" s="3">
        <x:v>10</x:v>
      </x:c>
      <x:c r="H375" s="2" t="s">
        <x:v>18</x:v>
      </x:c>
      <x:c r="I375" s="7">
        <x:v>13.9</x:v>
      </x:c>
      <x:c r="J375" s="2"/>
      <x:c r="K375" s="5" t="e">
        <x:f>Tabela1[[#This Row],[Estoque total]]-Tabela1[[#This Row],[Consumo]]</x:f>
        <x:v>#VALUE!</x:v>
      </x:c>
      <x:c r="L375" s="9" t="e">
        <x:f>(Tabela1[[#This Row],[Valor total]]/Tabela1[[#This Row],[Estoque total]])*Tabela1[[#This Row],[Consumo]]</x:f>
        <x:v>#VALUE!</x:v>
      </x:c>
    </x:row>
    <x:row r="376">
      <x:c r="A376" s="2" t="s">
        <x:v>749</x:v>
      </x:c>
      <x:c r="B376" s="2" t="s">
        <x:v>750</x:v>
      </x:c>
      <x:c r="C376" s="2" t="s">
        <x:v>14</x:v>
      </x:c>
      <x:c r="D376" s="2" t="s">
        <x:v>15</x:v>
      </x:c>
      <x:c r="E376" s="2" t="s">
        <x:v>16</x:v>
      </x:c>
      <x:c r="F376" s="2" t="s">
        <x:v>31</x:v>
      </x:c>
      <x:c r="G376" s="3">
        <x:v>9</x:v>
      </x:c>
      <x:c r="H376" s="2" t="s">
        <x:v>18</x:v>
      </x:c>
      <x:c r="I376" s="7">
        <x:v>12.51</x:v>
      </x:c>
      <x:c r="J376" s="2"/>
      <x:c r="K376" s="5" t="e">
        <x:f>Tabela1[[#This Row],[Estoque total]]-Tabela1[[#This Row],[Consumo]]</x:f>
        <x:v>#VALUE!</x:v>
      </x:c>
      <x:c r="L376" s="9" t="e">
        <x:f>(Tabela1[[#This Row],[Valor total]]/Tabela1[[#This Row],[Estoque total]])*Tabela1[[#This Row],[Consumo]]</x:f>
        <x:v>#VALUE!</x:v>
      </x:c>
    </x:row>
    <x:row r="377">
      <x:c r="A377" s="2" t="s">
        <x:v>751</x:v>
      </x:c>
      <x:c r="B377" s="2" t="s">
        <x:v>752</x:v>
      </x:c>
      <x:c r="C377" s="2" t="s">
        <x:v>14</x:v>
      </x:c>
      <x:c r="D377" s="2" t="s">
        <x:v>15</x:v>
      </x:c>
      <x:c r="E377" s="2" t="s">
        <x:v>16</x:v>
      </x:c>
      <x:c r="F377" s="2" t="s">
        <x:v>17</x:v>
      </x:c>
      <x:c r="G377" s="3">
        <x:v>38</x:v>
      </x:c>
      <x:c r="H377" s="2" t="s">
        <x:v>18</x:v>
      </x:c>
      <x:c r="I377" s="7">
        <x:v>3230</x:v>
      </x:c>
      <x:c r="J377" s="2"/>
      <x:c r="K377" s="5" t="e">
        <x:f>Tabela1[[#This Row],[Estoque total]]-Tabela1[[#This Row],[Consumo]]</x:f>
        <x:v>#VALUE!</x:v>
      </x:c>
      <x:c r="L377" s="9" t="e">
        <x:f>(Tabela1[[#This Row],[Valor total]]/Tabela1[[#This Row],[Estoque total]])*Tabela1[[#This Row],[Consumo]]</x:f>
        <x:v>#VALUE!</x:v>
      </x:c>
    </x:row>
    <x:row r="378">
      <x:c r="A378" s="2" t="s">
        <x:v>753</x:v>
      </x:c>
      <x:c r="B378" s="2" t="s">
        <x:v>754</x:v>
      </x:c>
      <x:c r="C378" s="2" t="s">
        <x:v>14</x:v>
      </x:c>
      <x:c r="D378" s="2" t="s">
        <x:v>15</x:v>
      </x:c>
      <x:c r="E378" s="2" t="s">
        <x:v>16</x:v>
      </x:c>
      <x:c r="F378" s="2" t="s">
        <x:v>17</x:v>
      </x:c>
      <x:c r="G378" s="3">
        <x:v>6</x:v>
      </x:c>
      <x:c r="H378" s="2" t="s">
        <x:v>18</x:v>
      </x:c>
      <x:c r="I378" s="7">
        <x:v>13.2</x:v>
      </x:c>
      <x:c r="J378" s="2" t="n">
        <x:v>6</x:v>
      </x:c>
      <x:c r="K378" s="5" t="n">
        <x:f>Tabela1[[#This Row],[Estoque total]]-Tabela1[[#This Row],[Consumo]]</x:f>
        <x:v>0</x:v>
      </x:c>
      <x:c r="L378" s="9" t="n">
        <x:f>(Tabela1[[#This Row],[Valor total]]/Tabela1[[#This Row],[Estoque total]])*Tabela1[[#This Row],[Consumo]]</x:f>
        <x:v>13.2</x:v>
      </x:c>
    </x:row>
    <x:row r="379">
      <x:c r="A379" s="2" t="s">
        <x:v>755</x:v>
      </x:c>
      <x:c r="B379" s="2" t="s">
        <x:v>756</x:v>
      </x:c>
      <x:c r="C379" s="2" t="s">
        <x:v>14</x:v>
      </x:c>
      <x:c r="D379" s="2" t="s">
        <x:v>15</x:v>
      </x:c>
      <x:c r="E379" s="2" t="s">
        <x:v>16</x:v>
      </x:c>
      <x:c r="F379" s="2" t="s">
        <x:v>31</x:v>
      </x:c>
      <x:c r="G379" s="3">
        <x:v>1</x:v>
      </x:c>
      <x:c r="H379" s="2" t="s">
        <x:v>18</x:v>
      </x:c>
      <x:c r="I379" s="7">
        <x:v>34.549999999999997</x:v>
      </x:c>
      <x:c r="J379" s="2" t="n">
        <x:v>1</x:v>
      </x:c>
      <x:c r="K379" s="5" t="n">
        <x:f>Tabela1[[#This Row],[Estoque total]]-Tabela1[[#This Row],[Consumo]]</x:f>
        <x:v>0</x:v>
      </x:c>
      <x:c r="L379" s="9" t="n">
        <x:f>(Tabela1[[#This Row],[Valor total]]/Tabela1[[#This Row],[Estoque total]])*Tabela1[[#This Row],[Consumo]]</x:f>
        <x:v>34.55</x:v>
      </x:c>
    </x:row>
    <x:row r="380">
      <x:c r="A380" s="2" t="s">
        <x:v>757</x:v>
      </x:c>
      <x:c r="B380" s="2" t="s">
        <x:v>758</x:v>
      </x:c>
      <x:c r="C380" s="2" t="s">
        <x:v>14</x:v>
      </x:c>
      <x:c r="D380" s="2" t="s">
        <x:v>15</x:v>
      </x:c>
      <x:c r="E380" s="2" t="s">
        <x:v>16</x:v>
      </x:c>
      <x:c r="F380" s="2" t="s">
        <x:v>17</x:v>
      </x:c>
      <x:c r="G380" s="3">
        <x:v>0.5</x:v>
      </x:c>
      <x:c r="H380" s="2" t="s">
        <x:v>18</x:v>
      </x:c>
      <x:c r="I380" s="7">
        <x:v>11.15</x:v>
      </x:c>
      <x:c r="J380" s="2"/>
      <x:c r="K380" s="5" t="e">
        <x:f>Tabela1[[#This Row],[Estoque total]]-Tabela1[[#This Row],[Consumo]]</x:f>
        <x:v>#VALUE!</x:v>
      </x:c>
      <x:c r="L380" s="9" t="e">
        <x:f>(Tabela1[[#This Row],[Valor total]]/Tabela1[[#This Row],[Estoque total]])*Tabela1[[#This Row],[Consumo]]</x:f>
        <x:v>#VALUE!</x:v>
      </x:c>
    </x:row>
    <x:row r="381">
      <x:c r="A381" s="2" t="s">
        <x:v>759</x:v>
      </x:c>
      <x:c r="B381" s="2" t="s">
        <x:v>760</x:v>
      </x:c>
      <x:c r="C381" s="2" t="s">
        <x:v>14</x:v>
      </x:c>
      <x:c r="D381" s="2" t="s">
        <x:v>15</x:v>
      </x:c>
      <x:c r="E381" s="2" t="s">
        <x:v>16</x:v>
      </x:c>
      <x:c r="F381" s="2" t="s">
        <x:v>17</x:v>
      </x:c>
      <x:c r="G381" s="3">
        <x:v>24</x:v>
      </x:c>
      <x:c r="H381" s="2" t="s">
        <x:v>18</x:v>
      </x:c>
      <x:c r="I381" s="7">
        <x:v>16.079999999999998</x:v>
      </x:c>
      <x:c r="J381" s="2"/>
      <x:c r="K381" s="5" t="e">
        <x:f>Tabela1[[#This Row],[Estoque total]]-Tabela1[[#This Row],[Consumo]]</x:f>
        <x:v>#VALUE!</x:v>
      </x:c>
      <x:c r="L381" s="9" t="e">
        <x:f>(Tabela1[[#This Row],[Valor total]]/Tabela1[[#This Row],[Estoque total]])*Tabela1[[#This Row],[Consumo]]</x:f>
        <x:v>#VALUE!</x:v>
      </x:c>
    </x:row>
    <x:row r="382">
      <x:c r="A382" s="2" t="s">
        <x:v>761</x:v>
      </x:c>
      <x:c r="B382" s="2" t="s">
        <x:v>762</x:v>
      </x:c>
      <x:c r="C382" s="2" t="s">
        <x:v>14</x:v>
      </x:c>
      <x:c r="D382" s="2" t="s">
        <x:v>15</x:v>
      </x:c>
      <x:c r="E382" s="2" t="s">
        <x:v>16</x:v>
      </x:c>
      <x:c r="F382" s="2" t="s">
        <x:v>17</x:v>
      </x:c>
      <x:c r="G382" s="3">
        <x:v>1</x:v>
      </x:c>
      <x:c r="H382" s="2" t="s">
        <x:v>18</x:v>
      </x:c>
      <x:c r="I382" s="7">
        <x:v>12.5</x:v>
      </x:c>
      <x:c r="J382" s="2"/>
      <x:c r="K382" s="5" t="e">
        <x:f>Tabela1[[#This Row],[Estoque total]]-Tabela1[[#This Row],[Consumo]]</x:f>
        <x:v>#VALUE!</x:v>
      </x:c>
      <x:c r="L382" s="9" t="e">
        <x:f>(Tabela1[[#This Row],[Valor total]]/Tabela1[[#This Row],[Estoque total]])*Tabela1[[#This Row],[Consumo]]</x:f>
        <x:v>#VALUE!</x:v>
      </x:c>
    </x:row>
    <x:row r="383">
      <x:c r="A383" s="2" t="s">
        <x:v>763</x:v>
      </x:c>
      <x:c r="B383" s="2" t="s">
        <x:v>764</x:v>
      </x:c>
      <x:c r="C383" s="2" t="s">
        <x:v>14</x:v>
      </x:c>
      <x:c r="D383" s="2" t="s">
        <x:v>15</x:v>
      </x:c>
      <x:c r="E383" s="2" t="s">
        <x:v>16</x:v>
      </x:c>
      <x:c r="F383" s="2" t="s">
        <x:v>17</x:v>
      </x:c>
      <x:c r="G383" s="3">
        <x:v>2.5</x:v>
      </x:c>
      <x:c r="H383" s="2" t="s">
        <x:v>18</x:v>
      </x:c>
      <x:c r="I383" s="7">
        <x:v>19.75</x:v>
      </x:c>
      <x:c r="J383" s="2"/>
      <x:c r="K383" s="5" t="e">
        <x:f>Tabela1[[#This Row],[Estoque total]]-Tabela1[[#This Row],[Consumo]]</x:f>
        <x:v>#VALUE!</x:v>
      </x:c>
      <x:c r="L383" s="9" t="e">
        <x:f>(Tabela1[[#This Row],[Valor total]]/Tabela1[[#This Row],[Estoque total]])*Tabela1[[#This Row],[Consumo]]</x:f>
        <x:v>#VALUE!</x:v>
      </x:c>
    </x:row>
    <x:row r="384">
      <x:c r="A384" s="2" t="s">
        <x:v>765</x:v>
      </x:c>
      <x:c r="B384" s="2" t="s">
        <x:v>766</x:v>
      </x:c>
      <x:c r="C384" s="2" t="s">
        <x:v>14</x:v>
      </x:c>
      <x:c r="D384" s="2" t="s">
        <x:v>15</x:v>
      </x:c>
      <x:c r="E384" s="2" t="s">
        <x:v>16</x:v>
      </x:c>
      <x:c r="F384" s="2" t="s">
        <x:v>17</x:v>
      </x:c>
      <x:c r="G384" s="3">
        <x:v>1</x:v>
      </x:c>
      <x:c r="H384" s="2" t="s">
        <x:v>18</x:v>
      </x:c>
      <x:c r="I384" s="7">
        <x:v>9.4</x:v>
      </x:c>
      <x:c r="J384" s="2"/>
      <x:c r="K384" s="5" t="e">
        <x:f>Tabela1[[#This Row],[Estoque total]]-Tabela1[[#This Row],[Consumo]]</x:f>
        <x:v>#VALUE!</x:v>
      </x:c>
      <x:c r="L384" s="9" t="e">
        <x:f>(Tabela1[[#This Row],[Valor total]]/Tabela1[[#This Row],[Estoque total]])*Tabela1[[#This Row],[Consumo]]</x:f>
        <x:v>#VALUE!</x:v>
      </x:c>
    </x:row>
    <x:row r="385">
      <x:c r="A385" s="2" t="s">
        <x:v>767</x:v>
      </x:c>
      <x:c r="B385" s="2" t="s">
        <x:v>768</x:v>
      </x:c>
      <x:c r="C385" s="2" t="s">
        <x:v>14</x:v>
      </x:c>
      <x:c r="D385" s="2" t="s">
        <x:v>15</x:v>
      </x:c>
      <x:c r="E385" s="2" t="s">
        <x:v>16</x:v>
      </x:c>
      <x:c r="F385" s="2" t="s">
        <x:v>17</x:v>
      </x:c>
      <x:c r="G385" s="3">
        <x:v>5</x:v>
      </x:c>
      <x:c r="H385" s="2" t="s">
        <x:v>18</x:v>
      </x:c>
      <x:c r="I385" s="7">
        <x:v>51</x:v>
      </x:c>
      <x:c r="J385" s="2"/>
      <x:c r="K385" s="5" t="e">
        <x:f>Tabela1[[#This Row],[Estoque total]]-Tabela1[[#This Row],[Consumo]]</x:f>
        <x:v>#VALUE!</x:v>
      </x:c>
      <x:c r="L385" s="9" t="e">
        <x:f>(Tabela1[[#This Row],[Valor total]]/Tabela1[[#This Row],[Estoque total]])*Tabela1[[#This Row],[Consumo]]</x:f>
        <x:v>#VALUE!</x:v>
      </x:c>
    </x:row>
    <x:row r="386">
      <x:c r="A386" s="2" t="s">
        <x:v>769</x:v>
      </x:c>
      <x:c r="B386" s="2" t="s">
        <x:v>770</x:v>
      </x:c>
      <x:c r="C386" s="2" t="s">
        <x:v>14</x:v>
      </x:c>
      <x:c r="D386" s="2" t="s">
        <x:v>15</x:v>
      </x:c>
      <x:c r="E386" s="2" t="s">
        <x:v>16</x:v>
      </x:c>
      <x:c r="F386" s="2" t="s">
        <x:v>17</x:v>
      </x:c>
      <x:c r="G386" s="3">
        <x:v>0.5</x:v>
      </x:c>
      <x:c r="H386" s="2" t="s">
        <x:v>18</x:v>
      </x:c>
      <x:c r="I386" s="7">
        <x:v>7.78</x:v>
      </x:c>
      <x:c r="J386" s="2"/>
      <x:c r="K386" s="5" t="e">
        <x:f>Tabela1[[#This Row],[Estoque total]]-Tabela1[[#This Row],[Consumo]]</x:f>
        <x:v>#VALUE!</x:v>
      </x:c>
      <x:c r="L386" s="9" t="e">
        <x:f>(Tabela1[[#This Row],[Valor total]]/Tabela1[[#This Row],[Estoque total]])*Tabela1[[#This Row],[Consumo]]</x:f>
        <x:v>#VALUE!</x:v>
      </x:c>
    </x:row>
    <x:row r="387">
      <x:c r="A387" s="2" t="s">
        <x:v>771</x:v>
      </x:c>
      <x:c r="B387" s="2" t="s">
        <x:v>772</x:v>
      </x:c>
      <x:c r="C387" s="2" t="s">
        <x:v>14</x:v>
      </x:c>
      <x:c r="D387" s="2" t="s">
        <x:v>15</x:v>
      </x:c>
      <x:c r="E387" s="2" t="s">
        <x:v>16</x:v>
      </x:c>
      <x:c r="F387" s="2" t="s">
        <x:v>17</x:v>
      </x:c>
      <x:c r="G387" s="3">
        <x:v>112</x:v>
      </x:c>
      <x:c r="H387" s="2" t="s">
        <x:v>18</x:v>
      </x:c>
      <x:c r="I387" s="7">
        <x:v>2757.3</x:v>
      </x:c>
      <x:c r="J387" s="2"/>
      <x:c r="K387" s="5" t="e">
        <x:f>Tabela1[[#This Row],[Estoque total]]-Tabela1[[#This Row],[Consumo]]</x:f>
        <x:v>#VALUE!</x:v>
      </x:c>
      <x:c r="L387" s="9" t="e">
        <x:f>(Tabela1[[#This Row],[Valor total]]/Tabela1[[#This Row],[Estoque total]])*Tabela1[[#This Row],[Consumo]]</x:f>
        <x:v>#VALUE!</x:v>
      </x:c>
    </x:row>
    <x:row r="388">
      <x:c r="A388" s="2" t="s">
        <x:v>773</x:v>
      </x:c>
      <x:c r="B388" s="2" t="s">
        <x:v>774</x:v>
      </x:c>
      <x:c r="C388" s="2" t="s">
        <x:v>14</x:v>
      </x:c>
      <x:c r="D388" s="2" t="s">
        <x:v>15</x:v>
      </x:c>
      <x:c r="E388" s="2" t="s">
        <x:v>16</x:v>
      </x:c>
      <x:c r="F388" s="2" t="s">
        <x:v>17</x:v>
      </x:c>
      <x:c r="G388" s="3">
        <x:v>1</x:v>
      </x:c>
      <x:c r="H388" s="2" t="s">
        <x:v>18</x:v>
      </x:c>
      <x:c r="I388" s="7">
        <x:v>17.600000000000001</x:v>
      </x:c>
      <x:c r="J388" s="2"/>
      <x:c r="K388" s="5" t="e">
        <x:f>Tabela1[[#This Row],[Estoque total]]-Tabela1[[#This Row],[Consumo]]</x:f>
        <x:v>#VALUE!</x:v>
      </x:c>
      <x:c r="L388" s="9" t="e">
        <x:f>(Tabela1[[#This Row],[Valor total]]/Tabela1[[#This Row],[Estoque total]])*Tabela1[[#This Row],[Consumo]]</x:f>
        <x:v>#VALUE!</x:v>
      </x:c>
    </x:row>
    <x:row r="389">
      <x:c r="A389" s="2" t="s">
        <x:v>775</x:v>
      </x:c>
      <x:c r="B389" s="2" t="s">
        <x:v>776</x:v>
      </x:c>
      <x:c r="C389" s="2" t="s">
        <x:v>14</x:v>
      </x:c>
      <x:c r="D389" s="2" t="s">
        <x:v>15</x:v>
      </x:c>
      <x:c r="E389" s="2" t="s">
        <x:v>16</x:v>
      </x:c>
      <x:c r="F389" s="2" t="s">
        <x:v>17</x:v>
      </x:c>
      <x:c r="G389" s="3">
        <x:v>4</x:v>
      </x:c>
      <x:c r="H389" s="2" t="s">
        <x:v>18</x:v>
      </x:c>
      <x:c r="I389" s="7">
        <x:v>108</x:v>
      </x:c>
      <x:c r="J389" s="2"/>
      <x:c r="K389" s="5" t="e">
        <x:f>Tabela1[[#This Row],[Estoque total]]-Tabela1[[#This Row],[Consumo]]</x:f>
        <x:v>#VALUE!</x:v>
      </x:c>
      <x:c r="L389" s="9" t="e">
        <x:f>(Tabela1[[#This Row],[Valor total]]/Tabela1[[#This Row],[Estoque total]])*Tabela1[[#This Row],[Consumo]]</x:f>
        <x:v>#VALUE!</x:v>
      </x:c>
    </x:row>
    <x:row r="390">
      <x:c r="A390" s="2" t="s">
        <x:v>777</x:v>
      </x:c>
      <x:c r="B390" s="2" t="s">
        <x:v>778</x:v>
      </x:c>
      <x:c r="C390" s="2" t="s">
        <x:v>14</x:v>
      </x:c>
      <x:c r="D390" s="2" t="s">
        <x:v>15</x:v>
      </x:c>
      <x:c r="E390" s="2" t="s">
        <x:v>16</x:v>
      </x:c>
      <x:c r="F390" s="2" t="s">
        <x:v>31</x:v>
      </x:c>
      <x:c r="G390" s="3">
        <x:v>2</x:v>
      </x:c>
      <x:c r="H390" s="2" t="s">
        <x:v>18</x:v>
      </x:c>
      <x:c r="I390" s="7">
        <x:v>149.6</x:v>
      </x:c>
      <x:c r="J390" s="2"/>
      <x:c r="K390" s="5" t="e">
        <x:f>Tabela1[[#This Row],[Estoque total]]-Tabela1[[#This Row],[Consumo]]</x:f>
        <x:v>#VALUE!</x:v>
      </x:c>
      <x:c r="L390" s="9" t="e">
        <x:f>(Tabela1[[#This Row],[Valor total]]/Tabela1[[#This Row],[Estoque total]])*Tabela1[[#This Row],[Consumo]]</x:f>
        <x:v>#VALUE!</x:v>
      </x:c>
    </x:row>
    <x:row r="391">
      <x:c r="A391" s="2" t="s">
        <x:v>779</x:v>
      </x:c>
      <x:c r="B391" s="2" t="s">
        <x:v>780</x:v>
      </x:c>
      <x:c r="C391" s="2" t="s">
        <x:v>14</x:v>
      </x:c>
      <x:c r="D391" s="2" t="s">
        <x:v>15</x:v>
      </x:c>
      <x:c r="E391" s="2" t="s">
        <x:v>16</x:v>
      </x:c>
      <x:c r="F391" s="2" t="s">
        <x:v>17</x:v>
      </x:c>
      <x:c r="G391" s="3">
        <x:v>352</x:v>
      </x:c>
      <x:c r="H391" s="2" t="s">
        <x:v>18</x:v>
      </x:c>
      <x:c r="I391" s="7">
        <x:v>16900.95</x:v>
      </x:c>
      <x:c r="J391" s="2"/>
      <x:c r="K391" s="5" t="e">
        <x:f>Tabela1[[#This Row],[Estoque total]]-Tabela1[[#This Row],[Consumo]]</x:f>
        <x:v>#VALUE!</x:v>
      </x:c>
      <x:c r="L391" s="9" t="e">
        <x:f>(Tabela1[[#This Row],[Valor total]]/Tabela1[[#This Row],[Estoque total]])*Tabela1[[#This Row],[Consumo]]</x:f>
        <x:v>#VALUE!</x:v>
      </x:c>
    </x:row>
    <x:row r="392">
      <x:c r="A392" s="2" t="s">
        <x:v>781</x:v>
      </x:c>
      <x:c r="B392" s="2" t="s">
        <x:v>782</x:v>
      </x:c>
      <x:c r="C392" s="2" t="s">
        <x:v>14</x:v>
      </x:c>
      <x:c r="D392" s="2" t="s">
        <x:v>15</x:v>
      </x:c>
      <x:c r="E392" s="2" t="s">
        <x:v>16</x:v>
      </x:c>
      <x:c r="F392" s="2" t="s">
        <x:v>31</x:v>
      </x:c>
      <x:c r="G392" s="3">
        <x:v>1</x:v>
      </x:c>
      <x:c r="H392" s="2" t="s">
        <x:v>18</x:v>
      </x:c>
      <x:c r="I392" s="7">
        <x:v>19.46</x:v>
      </x:c>
      <x:c r="J392" s="2"/>
      <x:c r="K392" s="5" t="e">
        <x:f>Tabela1[[#This Row],[Estoque total]]-Tabela1[[#This Row],[Consumo]]</x:f>
        <x:v>#VALUE!</x:v>
      </x:c>
      <x:c r="L392" s="9" t="e">
        <x:f>(Tabela1[[#This Row],[Valor total]]/Tabela1[[#This Row],[Estoque total]])*Tabela1[[#This Row],[Consumo]]</x:f>
        <x:v>#VALUE!</x:v>
      </x:c>
    </x:row>
    <x:row r="393">
      <x:c r="A393" s="2" t="s">
        <x:v>783</x:v>
      </x:c>
      <x:c r="B393" s="2" t="s">
        <x:v>784</x:v>
      </x:c>
      <x:c r="C393" s="2" t="s">
        <x:v>14</x:v>
      </x:c>
      <x:c r="D393" s="2" t="s">
        <x:v>15</x:v>
      </x:c>
      <x:c r="E393" s="2" t="s">
        <x:v>16</x:v>
      </x:c>
      <x:c r="F393" s="2" t="s">
        <x:v>17</x:v>
      </x:c>
      <x:c r="G393" s="3">
        <x:v>24</x:v>
      </x:c>
      <x:c r="H393" s="2" t="s">
        <x:v>18</x:v>
      </x:c>
      <x:c r="I393" s="7">
        <x:v>2.16</x:v>
      </x:c>
      <x:c r="J393" s="2"/>
      <x:c r="K393" s="5" t="e">
        <x:f>Tabela1[[#This Row],[Estoque total]]-Tabela1[[#This Row],[Consumo]]</x:f>
        <x:v>#VALUE!</x:v>
      </x:c>
      <x:c r="L393" s="9" t="e">
        <x:f>(Tabela1[[#This Row],[Valor total]]/Tabela1[[#This Row],[Estoque total]])*Tabela1[[#This Row],[Consumo]]</x:f>
        <x:v>#VALUE!</x:v>
      </x:c>
    </x:row>
    <x:row r="394">
      <x:c r="A394" s="2" t="s">
        <x:v>785</x:v>
      </x:c>
      <x:c r="B394" s="2" t="s">
        <x:v>786</x:v>
      </x:c>
      <x:c r="C394" s="2" t="s">
        <x:v>14</x:v>
      </x:c>
      <x:c r="D394" s="2" t="s">
        <x:v>15</x:v>
      </x:c>
      <x:c r="E394" s="2" t="s">
        <x:v>16</x:v>
      </x:c>
      <x:c r="F394" s="2" t="s">
        <x:v>17</x:v>
      </x:c>
      <x:c r="G394" s="3">
        <x:v>3</x:v>
      </x:c>
      <x:c r="H394" s="2" t="s">
        <x:v>18</x:v>
      </x:c>
      <x:c r="I394" s="7">
        <x:v>0.3</x:v>
      </x:c>
      <x:c r="J394" s="2"/>
      <x:c r="K394" s="5" t="e">
        <x:f>Tabela1[[#This Row],[Estoque total]]-Tabela1[[#This Row],[Consumo]]</x:f>
        <x:v>#VALUE!</x:v>
      </x:c>
      <x:c r="L394" s="9" t="e">
        <x:f>(Tabela1[[#This Row],[Valor total]]/Tabela1[[#This Row],[Estoque total]])*Tabela1[[#This Row],[Consumo]]</x:f>
        <x:v>#VALUE!</x:v>
      </x:c>
    </x:row>
    <x:row r="395">
      <x:c r="A395" s="2" t="s">
        <x:v>787</x:v>
      </x:c>
      <x:c r="B395" s="2" t="s">
        <x:v>788</x:v>
      </x:c>
      <x:c r="C395" s="2" t="s">
        <x:v>14</x:v>
      </x:c>
      <x:c r="D395" s="2" t="s">
        <x:v>15</x:v>
      </x:c>
      <x:c r="E395" s="2" t="s">
        <x:v>16</x:v>
      </x:c>
      <x:c r="F395" s="2" t="s">
        <x:v>17</x:v>
      </x:c>
      <x:c r="G395" s="3">
        <x:v>130</x:v>
      </x:c>
      <x:c r="H395" s="2" t="s">
        <x:v>18</x:v>
      </x:c>
      <x:c r="I395" s="7">
        <x:v>46.8</x:v>
      </x:c>
      <x:c r="J395" s="2"/>
      <x:c r="K395" s="5" t="e">
        <x:f>Tabela1[[#This Row],[Estoque total]]-Tabela1[[#This Row],[Consumo]]</x:f>
        <x:v>#VALUE!</x:v>
      </x:c>
      <x:c r="L395" s="9" t="e">
        <x:f>(Tabela1[[#This Row],[Valor total]]/Tabela1[[#This Row],[Estoque total]])*Tabela1[[#This Row],[Consumo]]</x:f>
        <x:v>#VALUE!</x:v>
      </x:c>
    </x:row>
    <x:row r="396">
      <x:c r="A396" s="2" t="s">
        <x:v>789</x:v>
      </x:c>
      <x:c r="B396" s="2" t="s">
        <x:v>790</x:v>
      </x:c>
      <x:c r="C396" s="2" t="s">
        <x:v>14</x:v>
      </x:c>
      <x:c r="D396" s="2" t="s">
        <x:v>15</x:v>
      </x:c>
      <x:c r="E396" s="2" t="s">
        <x:v>16</x:v>
      </x:c>
      <x:c r="F396" s="2" t="s">
        <x:v>17</x:v>
      </x:c>
      <x:c r="G396" s="3">
        <x:v>20</x:v>
      </x:c>
      <x:c r="H396" s="2" t="s">
        <x:v>18</x:v>
      </x:c>
      <x:c r="I396" s="7">
        <x:v>72</x:v>
      </x:c>
      <x:c r="J396" s="2"/>
      <x:c r="K396" s="5" t="e">
        <x:f>Tabela1[[#This Row],[Estoque total]]-Tabela1[[#This Row],[Consumo]]</x:f>
        <x:v>#VALUE!</x:v>
      </x:c>
      <x:c r="L396" s="9" t="e">
        <x:f>(Tabela1[[#This Row],[Valor total]]/Tabela1[[#This Row],[Estoque total]])*Tabela1[[#This Row],[Consumo]]</x:f>
        <x:v>#VALUE!</x:v>
      </x:c>
    </x:row>
    <x:row r="397">
      <x:c r="A397" s="2" t="s">
        <x:v>791</x:v>
      </x:c>
      <x:c r="B397" s="2" t="s">
        <x:v>792</x:v>
      </x:c>
      <x:c r="C397" s="2" t="s">
        <x:v>14</x:v>
      </x:c>
      <x:c r="D397" s="2" t="s">
        <x:v>15</x:v>
      </x:c>
      <x:c r="E397" s="2" t="s">
        <x:v>16</x:v>
      </x:c>
      <x:c r="F397" s="2" t="s">
        <x:v>17</x:v>
      </x:c>
      <x:c r="G397" s="3">
        <x:v>228</x:v>
      </x:c>
      <x:c r="H397" s="2" t="s">
        <x:v>18</x:v>
      </x:c>
      <x:c r="I397" s="7">
        <x:v>1861.3</x:v>
      </x:c>
      <x:c r="J397" s="2"/>
      <x:c r="K397" s="5" t="e">
        <x:f>Tabela1[[#This Row],[Estoque total]]-Tabela1[[#This Row],[Consumo]]</x:f>
        <x:v>#VALUE!</x:v>
      </x:c>
      <x:c r="L397" s="9" t="e">
        <x:f>(Tabela1[[#This Row],[Valor total]]/Tabela1[[#This Row],[Estoque total]])*Tabela1[[#This Row],[Consumo]]</x:f>
        <x:v>#VALUE!</x:v>
      </x:c>
    </x:row>
    <x:row r="398">
      <x:c r="A398" s="2" t="s">
        <x:v>793</x:v>
      </x:c>
      <x:c r="B398" s="2" t="s">
        <x:v>794</x:v>
      </x:c>
      <x:c r="C398" s="2" t="s">
        <x:v>14</x:v>
      </x:c>
      <x:c r="D398" s="2" t="s">
        <x:v>15</x:v>
      </x:c>
      <x:c r="E398" s="2" t="s">
        <x:v>16</x:v>
      </x:c>
      <x:c r="F398" s="2" t="s">
        <x:v>31</x:v>
      </x:c>
      <x:c r="G398" s="3">
        <x:v>3</x:v>
      </x:c>
      <x:c r="H398" s="2" t="s">
        <x:v>18</x:v>
      </x:c>
      <x:c r="I398" s="7">
        <x:v>0</x:v>
      </x:c>
      <x:c r="J398" s="2" t="n">
        <x:v>3</x:v>
      </x:c>
      <x:c r="K398" s="5" t="n">
        <x:f>Tabela1[[#This Row],[Estoque total]]-Tabela1[[#This Row],[Consumo]]</x:f>
        <x:v>0</x:v>
      </x:c>
      <x:c r="L398" s="9" t="n">
        <x:f>(Tabela1[[#This Row],[Valor total]]/Tabela1[[#This Row],[Estoque total]])*Tabela1[[#This Row],[Consumo]]</x:f>
        <x:v>0</x:v>
      </x:c>
    </x:row>
    <x:row r="399">
      <x:c r="A399" s="2" t="s">
        <x:v>793</x:v>
      </x:c>
      <x:c r="B399" s="2" t="s">
        <x:v>794</x:v>
      </x:c>
      <x:c r="C399" s="2" t="s">
        <x:v>14</x:v>
      </x:c>
      <x:c r="D399" s="2" t="s">
        <x:v>15</x:v>
      </x:c>
      <x:c r="E399" s="2" t="s">
        <x:v>16</x:v>
      </x:c>
      <x:c r="F399" s="2" t="s">
        <x:v>17</x:v>
      </x:c>
      <x:c r="G399" s="3">
        <x:v>2</x:v>
      </x:c>
      <x:c r="H399" s="2" t="s">
        <x:v>18</x:v>
      </x:c>
      <x:c r="I399" s="7">
        <x:v>0</x:v>
      </x:c>
      <x:c r="J399" s="2" t="n">
        <x:v>2</x:v>
      </x:c>
      <x:c r="K399" s="5" t="n">
        <x:f>Tabela1[[#This Row],[Estoque total]]-Tabela1[[#This Row],[Consumo]]</x:f>
        <x:v>0</x:v>
      </x:c>
      <x:c r="L399" s="9" t="n">
        <x:f>(Tabela1[[#This Row],[Valor total]]/Tabela1[[#This Row],[Estoque total]])*Tabela1[[#This Row],[Consumo]]</x:f>
        <x:v>0</x:v>
      </x:c>
    </x:row>
    <x:row r="400">
      <x:c r="A400" s="2" t="s">
        <x:v>795</x:v>
      </x:c>
      <x:c r="B400" s="2" t="s">
        <x:v>796</x:v>
      </x:c>
      <x:c r="C400" s="2" t="s">
        <x:v>14</x:v>
      </x:c>
      <x:c r="D400" s="2" t="s">
        <x:v>15</x:v>
      </x:c>
      <x:c r="E400" s="2" t="s">
        <x:v>16</x:v>
      </x:c>
      <x:c r="F400" s="2" t="s">
        <x:v>31</x:v>
      </x:c>
      <x:c r="G400" s="3">
        <x:v>3</x:v>
      </x:c>
      <x:c r="H400" s="2" t="s">
        <x:v>18</x:v>
      </x:c>
      <x:c r="I400" s="7">
        <x:v>8.1</x:v>
      </x:c>
      <x:c r="J400" s="2"/>
      <x:c r="K400" s="5" t="e">
        <x:f>Tabela1[[#This Row],[Estoque total]]-Tabela1[[#This Row],[Consumo]]</x:f>
        <x:v>#VALUE!</x:v>
      </x:c>
      <x:c r="L400" s="9" t="e">
        <x:f>(Tabela1[[#This Row],[Valor total]]/Tabela1[[#This Row],[Estoque total]])*Tabela1[[#This Row],[Consumo]]</x:f>
        <x:v>#VALUE!</x:v>
      </x:c>
    </x:row>
    <x:row r="401">
      <x:c r="A401" s="2" t="s">
        <x:v>797</x:v>
      </x:c>
      <x:c r="B401" s="2" t="s">
        <x:v>798</x:v>
      </x:c>
      <x:c r="C401" s="2" t="s">
        <x:v>14</x:v>
      </x:c>
      <x:c r="D401" s="2" t="s">
        <x:v>15</x:v>
      </x:c>
      <x:c r="E401" s="2" t="s">
        <x:v>16</x:v>
      </x:c>
      <x:c r="F401" s="2" t="s">
        <x:v>17</x:v>
      </x:c>
      <x:c r="G401" s="3">
        <x:v>34</x:v>
      </x:c>
      <x:c r="H401" s="2" t="s">
        <x:v>18</x:v>
      </x:c>
      <x:c r="I401" s="7">
        <x:v>8496.6</x:v>
      </x:c>
      <x:c r="J401" s="2"/>
      <x:c r="K401" s="5" t="e">
        <x:f>Tabela1[[#This Row],[Estoque total]]-Tabela1[[#This Row],[Consumo]]</x:f>
        <x:v>#VALUE!</x:v>
      </x:c>
      <x:c r="L401" s="9" t="e">
        <x:f>(Tabela1[[#This Row],[Valor total]]/Tabela1[[#This Row],[Estoque total]])*Tabela1[[#This Row],[Consumo]]</x:f>
        <x:v>#VALUE!</x:v>
      </x:c>
    </x:row>
    <x:row r="402">
      <x:c r="A402" s="2" t="s">
        <x:v>799</x:v>
      </x:c>
      <x:c r="B402" s="2" t="s">
        <x:v>800</x:v>
      </x:c>
      <x:c r="C402" s="2" t="s">
        <x:v>14</x:v>
      </x:c>
      <x:c r="D402" s="2" t="s">
        <x:v>15</x:v>
      </x:c>
      <x:c r="E402" s="2" t="s">
        <x:v>16</x:v>
      </x:c>
      <x:c r="F402" s="2" t="s">
        <x:v>17</x:v>
      </x:c>
      <x:c r="G402" s="3">
        <x:v>2</x:v>
      </x:c>
      <x:c r="H402" s="2" t="s">
        <x:v>18</x:v>
      </x:c>
      <x:c r="I402" s="7">
        <x:v>950.86</x:v>
      </x:c>
      <x:c r="J402" s="2"/>
      <x:c r="K402" s="5" t="e">
        <x:f>Tabela1[[#This Row],[Estoque total]]-Tabela1[[#This Row],[Consumo]]</x:f>
        <x:v>#VALUE!</x:v>
      </x:c>
      <x:c r="L402" s="9" t="e">
        <x:f>(Tabela1[[#This Row],[Valor total]]/Tabela1[[#This Row],[Estoque total]])*Tabela1[[#This Row],[Consumo]]</x:f>
        <x:v>#VALUE!</x:v>
      </x:c>
    </x:row>
    <x:row r="403">
      <x:c r="A403" s="2" t="s">
        <x:v>801</x:v>
      </x:c>
      <x:c r="B403" s="2" t="s">
        <x:v>802</x:v>
      </x:c>
      <x:c r="C403" s="2" t="s">
        <x:v>14</x:v>
      </x:c>
      <x:c r="D403" s="2" t="s">
        <x:v>15</x:v>
      </x:c>
      <x:c r="E403" s="2" t="s">
        <x:v>16</x:v>
      </x:c>
      <x:c r="F403" s="2" t="s">
        <x:v>17</x:v>
      </x:c>
      <x:c r="G403" s="3">
        <x:v>63</x:v>
      </x:c>
      <x:c r="H403" s="2" t="s">
        <x:v>18</x:v>
      </x:c>
      <x:c r="I403" s="7">
        <x:v>30769.39</x:v>
      </x:c>
      <x:c r="J403" s="2" t="n">
        <x:v>17</x:v>
      </x:c>
      <x:c r="K403" s="5" t="n">
        <x:f>Tabela1[[#This Row],[Estoque total]]-Tabela1[[#This Row],[Consumo]]</x:f>
        <x:v>46</x:v>
      </x:c>
      <x:c r="L403" s="9" t="n">
        <x:f>(Tabela1[[#This Row],[Valor total]]/Tabela1[[#This Row],[Estoque total]])*Tabela1[[#This Row],[Consumo]]</x:f>
        <x:v>8302.85126984127</x:v>
      </x:c>
    </x:row>
    <x:row r="404">
      <x:c r="A404" s="2" t="s">
        <x:v>803</x:v>
      </x:c>
      <x:c r="B404" s="2" t="s">
        <x:v>804</x:v>
      </x:c>
      <x:c r="C404" s="2" t="s">
        <x:v>14</x:v>
      </x:c>
      <x:c r="D404" s="2" t="s">
        <x:v>15</x:v>
      </x:c>
      <x:c r="E404" s="2" t="s">
        <x:v>16</x:v>
      </x:c>
      <x:c r="F404" s="2" t="s">
        <x:v>17</x:v>
      </x:c>
      <x:c r="G404" s="3">
        <x:v>6</x:v>
      </x:c>
      <x:c r="H404" s="2" t="s">
        <x:v>18</x:v>
      </x:c>
      <x:c r="I404" s="7">
        <x:v>3080.63</x:v>
      </x:c>
      <x:c r="J404" s="2"/>
      <x:c r="K404" s="5" t="e">
        <x:f>Tabela1[[#This Row],[Estoque total]]-Tabela1[[#This Row],[Consumo]]</x:f>
        <x:v>#VALUE!</x:v>
      </x:c>
      <x:c r="L404" s="9" t="e">
        <x:f>(Tabela1[[#This Row],[Valor total]]/Tabela1[[#This Row],[Estoque total]])*Tabela1[[#This Row],[Consumo]]</x:f>
        <x:v>#VALUE!</x:v>
      </x:c>
    </x:row>
    <x:row r="405">
      <x:c r="A405" s="2" t="s">
        <x:v>805</x:v>
      </x:c>
      <x:c r="B405" s="2" t="s">
        <x:v>806</x:v>
      </x:c>
      <x:c r="C405" s="2" t="s">
        <x:v>14</x:v>
      </x:c>
      <x:c r="D405" s="2" t="s">
        <x:v>15</x:v>
      </x:c>
      <x:c r="E405" s="2" t="s">
        <x:v>16</x:v>
      </x:c>
      <x:c r="F405" s="2" t="s">
        <x:v>17</x:v>
      </x:c>
      <x:c r="G405" s="3">
        <x:v>2</x:v>
      </x:c>
      <x:c r="H405" s="2" t="s">
        <x:v>18</x:v>
      </x:c>
      <x:c r="I405" s="7">
        <x:v>1228.3900000000001</x:v>
      </x:c>
      <x:c r="J405" s="2" t="n">
        <x:v>1</x:v>
      </x:c>
      <x:c r="K405" s="5" t="n">
        <x:f>Tabela1[[#This Row],[Estoque total]]-Tabela1[[#This Row],[Consumo]]</x:f>
        <x:v>1</x:v>
      </x:c>
      <x:c r="L405" s="9" t="n">
        <x:f>(Tabela1[[#This Row],[Valor total]]/Tabela1[[#This Row],[Estoque total]])*Tabela1[[#This Row],[Consumo]]</x:f>
        <x:v>614.195</x:v>
      </x:c>
    </x:row>
    <x:row r="406">
      <x:c r="A406" s="2" t="s">
        <x:v>807</x:v>
      </x:c>
      <x:c r="B406" s="2" t="s">
        <x:v>808</x:v>
      </x:c>
      <x:c r="C406" s="2" t="s">
        <x:v>14</x:v>
      </x:c>
      <x:c r="D406" s="2" t="s">
        <x:v>15</x:v>
      </x:c>
      <x:c r="E406" s="2" t="s">
        <x:v>16</x:v>
      </x:c>
      <x:c r="F406" s="2" t="s">
        <x:v>17</x:v>
      </x:c>
      <x:c r="G406" s="3">
        <x:v>12</x:v>
      </x:c>
      <x:c r="H406" s="2" t="s">
        <x:v>18</x:v>
      </x:c>
      <x:c r="I406" s="7">
        <x:v>7517.7</x:v>
      </x:c>
      <x:c r="J406" s="2" t="n">
        <x:v>1</x:v>
      </x:c>
      <x:c r="K406" s="5" t="n">
        <x:f>Tabela1[[#This Row],[Estoque total]]-Tabela1[[#This Row],[Consumo]]</x:f>
        <x:v>11</x:v>
      </x:c>
      <x:c r="L406" s="9" t="n">
        <x:f>(Tabela1[[#This Row],[Valor total]]/Tabela1[[#This Row],[Estoque total]])*Tabela1[[#This Row],[Consumo]]</x:f>
        <x:v>626.475</x:v>
      </x:c>
    </x:row>
    <x:row r="407">
      <x:c r="A407" s="2" t="s">
        <x:v>809</x:v>
      </x:c>
      <x:c r="B407" s="2" t="s">
        <x:v>810</x:v>
      </x:c>
      <x:c r="C407" s="2" t="s">
        <x:v>14</x:v>
      </x:c>
      <x:c r="D407" s="2" t="s">
        <x:v>15</x:v>
      </x:c>
      <x:c r="E407" s="2" t="s">
        <x:v>16</x:v>
      </x:c>
      <x:c r="F407" s="2" t="s">
        <x:v>17</x:v>
      </x:c>
      <x:c r="G407" s="3">
        <x:v>3</x:v>
      </x:c>
      <x:c r="H407" s="2" t="s">
        <x:v>18</x:v>
      </x:c>
      <x:c r="I407" s="7">
        <x:v>2049.91</x:v>
      </x:c>
      <x:c r="J407" s="2" t="n">
        <x:v>1</x:v>
      </x:c>
      <x:c r="K407" s="5" t="n">
        <x:f>Tabela1[[#This Row],[Estoque total]]-Tabela1[[#This Row],[Consumo]]</x:f>
        <x:v>2</x:v>
      </x:c>
      <x:c r="L407" s="9" t="n">
        <x:f>(Tabela1[[#This Row],[Valor total]]/Tabela1[[#This Row],[Estoque total]])*Tabela1[[#This Row],[Consumo]]</x:f>
        <x:v>683.3033333333333</x:v>
      </x:c>
    </x:row>
    <x:row r="408">
      <x:c r="A408" s="2" t="s">
        <x:v>811</x:v>
      </x:c>
      <x:c r="B408" s="2" t="s">
        <x:v>812</x:v>
      </x:c>
      <x:c r="C408" s="2" t="s">
        <x:v>14</x:v>
      </x:c>
      <x:c r="D408" s="2" t="s">
        <x:v>15</x:v>
      </x:c>
      <x:c r="E408" s="2" t="s">
        <x:v>16</x:v>
      </x:c>
      <x:c r="F408" s="2" t="s">
        <x:v>17</x:v>
      </x:c>
      <x:c r="G408" s="3">
        <x:v>1</x:v>
      </x:c>
      <x:c r="H408" s="2" t="s">
        <x:v>18</x:v>
      </x:c>
      <x:c r="I408" s="7">
        <x:v>726.92</x:v>
      </x:c>
      <x:c r="J408" s="2"/>
      <x:c r="K408" s="5" t="e">
        <x:f>Tabela1[[#This Row],[Estoque total]]-Tabela1[[#This Row],[Consumo]]</x:f>
        <x:v>#VALUE!</x:v>
      </x:c>
      <x:c r="L408" s="9" t="e">
        <x:f>(Tabela1[[#This Row],[Valor total]]/Tabela1[[#This Row],[Estoque total]])*Tabela1[[#This Row],[Consumo]]</x:f>
        <x:v>#VALUE!</x:v>
      </x:c>
    </x:row>
    <x:row r="409">
      <x:c r="A409" s="2" t="s">
        <x:v>813</x:v>
      </x:c>
      <x:c r="B409" s="2" t="s">
        <x:v>814</x:v>
      </x:c>
      <x:c r="C409" s="2" t="s">
        <x:v>14</x:v>
      </x:c>
      <x:c r="D409" s="2" t="s">
        <x:v>15</x:v>
      </x:c>
      <x:c r="E409" s="2" t="s">
        <x:v>16</x:v>
      </x:c>
      <x:c r="F409" s="2" t="s">
        <x:v>17</x:v>
      </x:c>
      <x:c r="G409" s="3">
        <x:v>1</x:v>
      </x:c>
      <x:c r="H409" s="2" t="s">
        <x:v>18</x:v>
      </x:c>
      <x:c r="I409" s="7">
        <x:v>563.28</x:v>
      </x:c>
      <x:c r="J409" s="2"/>
      <x:c r="K409" s="5" t="e">
        <x:f>Tabela1[[#This Row],[Estoque total]]-Tabela1[[#This Row],[Consumo]]</x:f>
        <x:v>#VALUE!</x:v>
      </x:c>
      <x:c r="L409" s="9" t="e">
        <x:f>(Tabela1[[#This Row],[Valor total]]/Tabela1[[#This Row],[Estoque total]])*Tabela1[[#This Row],[Consumo]]</x:f>
        <x:v>#VALUE!</x:v>
      </x:c>
    </x:row>
    <x:row r="410">
      <x:c r="A410" s="2" t="s">
        <x:v>815</x:v>
      </x:c>
      <x:c r="B410" s="2" t="s">
        <x:v>816</x:v>
      </x:c>
      <x:c r="C410" s="2" t="s">
        <x:v>14</x:v>
      </x:c>
      <x:c r="D410" s="2" t="s">
        <x:v>15</x:v>
      </x:c>
      <x:c r="E410" s="2" t="s">
        <x:v>16</x:v>
      </x:c>
      <x:c r="F410" s="2" t="s">
        <x:v>17</x:v>
      </x:c>
      <x:c r="G410" s="3">
        <x:v>28</x:v>
      </x:c>
      <x:c r="H410" s="2" t="s">
        <x:v>18</x:v>
      </x:c>
      <x:c r="I410" s="7">
        <x:v>16165.72</x:v>
      </x:c>
      <x:c r="J410" s="2" t="n">
        <x:v>4</x:v>
      </x:c>
      <x:c r="K410" s="5" t="n">
        <x:f>Tabela1[[#This Row],[Estoque total]]-Tabela1[[#This Row],[Consumo]]</x:f>
        <x:v>24</x:v>
      </x:c>
      <x:c r="L410" s="9" t="n">
        <x:f>(Tabela1[[#This Row],[Valor total]]/Tabela1[[#This Row],[Estoque total]])*Tabela1[[#This Row],[Consumo]]</x:f>
        <x:v>2309.388571428571</x:v>
      </x:c>
    </x:row>
    <x:row r="411">
      <x:c r="A411" s="2" t="s">
        <x:v>817</x:v>
      </x:c>
      <x:c r="B411" s="2" t="s">
        <x:v>818</x:v>
      </x:c>
      <x:c r="C411" s="2" t="s">
        <x:v>14</x:v>
      </x:c>
      <x:c r="D411" s="2" t="s">
        <x:v>15</x:v>
      </x:c>
      <x:c r="E411" s="2" t="s">
        <x:v>16</x:v>
      </x:c>
      <x:c r="F411" s="2" t="s">
        <x:v>17</x:v>
      </x:c>
      <x:c r="G411" s="3">
        <x:v>1</x:v>
      </x:c>
      <x:c r="H411" s="2" t="s">
        <x:v>18</x:v>
      </x:c>
      <x:c r="I411" s="7">
        <x:v>607.48</x:v>
      </x:c>
      <x:c r="J411" s="2"/>
      <x:c r="K411" s="5" t="e">
        <x:f>Tabela1[[#This Row],[Estoque total]]-Tabela1[[#This Row],[Consumo]]</x:f>
        <x:v>#VALUE!</x:v>
      </x:c>
      <x:c r="L411" s="9" t="e">
        <x:f>(Tabela1[[#This Row],[Valor total]]/Tabela1[[#This Row],[Estoque total]])*Tabela1[[#This Row],[Consumo]]</x:f>
        <x:v>#VALUE!</x:v>
      </x:c>
    </x:row>
    <x:row r="412">
      <x:c r="A412" s="2" t="s">
        <x:v>819</x:v>
      </x:c>
      <x:c r="B412" s="2" t="s">
        <x:v>820</x:v>
      </x:c>
      <x:c r="C412" s="2" t="s">
        <x:v>14</x:v>
      </x:c>
      <x:c r="D412" s="2" t="s">
        <x:v>15</x:v>
      </x:c>
      <x:c r="E412" s="2" t="s">
        <x:v>16</x:v>
      </x:c>
      <x:c r="F412" s="2" t="s">
        <x:v>17</x:v>
      </x:c>
      <x:c r="G412" s="3">
        <x:v>6</x:v>
      </x:c>
      <x:c r="H412" s="2" t="s">
        <x:v>18</x:v>
      </x:c>
      <x:c r="I412" s="7">
        <x:v>5406.26</x:v>
      </x:c>
      <x:c r="J412" s="2"/>
      <x:c r="K412" s="5" t="e">
        <x:f>Tabela1[[#This Row],[Estoque total]]-Tabela1[[#This Row],[Consumo]]</x:f>
        <x:v>#VALUE!</x:v>
      </x:c>
      <x:c r="L412" s="9" t="e">
        <x:f>(Tabela1[[#This Row],[Valor total]]/Tabela1[[#This Row],[Estoque total]])*Tabela1[[#This Row],[Consumo]]</x:f>
        <x:v>#VALUE!</x:v>
      </x:c>
    </x:row>
    <x:row r="413">
      <x:c r="A413" s="2" t="s">
        <x:v>821</x:v>
      </x:c>
      <x:c r="B413" s="2" t="s">
        <x:v>822</x:v>
      </x:c>
      <x:c r="C413" s="2" t="s">
        <x:v>14</x:v>
      </x:c>
      <x:c r="D413" s="2" t="s">
        <x:v>15</x:v>
      </x:c>
      <x:c r="E413" s="2" t="s">
        <x:v>16</x:v>
      </x:c>
      <x:c r="F413" s="2" t="s">
        <x:v>17</x:v>
      </x:c>
      <x:c r="G413" s="3">
        <x:v>15</x:v>
      </x:c>
      <x:c r="H413" s="2" t="s">
        <x:v>18</x:v>
      </x:c>
      <x:c r="I413" s="7">
        <x:v>14520.22</x:v>
      </x:c>
      <x:c r="J413" s="2" t="n">
        <x:v>2</x:v>
      </x:c>
      <x:c r="K413" s="5" t="n">
        <x:f>Tabela1[[#This Row],[Estoque total]]-Tabela1[[#This Row],[Consumo]]</x:f>
        <x:v>13</x:v>
      </x:c>
      <x:c r="L413" s="9" t="n">
        <x:f>(Tabela1[[#This Row],[Valor total]]/Tabela1[[#This Row],[Estoque total]])*Tabela1[[#This Row],[Consumo]]</x:f>
        <x:v>1936.0293333333332</x:v>
      </x:c>
    </x:row>
    <x:row r="414">
      <x:c r="A414" s="2" t="s">
        <x:v>823</x:v>
      </x:c>
      <x:c r="B414" s="2" t="s">
        <x:v>824</x:v>
      </x:c>
      <x:c r="C414" s="2" t="s">
        <x:v>14</x:v>
      </x:c>
      <x:c r="D414" s="2" t="s">
        <x:v>15</x:v>
      </x:c>
      <x:c r="E414" s="2" t="s">
        <x:v>16</x:v>
      </x:c>
      <x:c r="F414" s="2" t="s">
        <x:v>17</x:v>
      </x:c>
      <x:c r="G414" s="3">
        <x:v>9</x:v>
      </x:c>
      <x:c r="H414" s="2" t="s">
        <x:v>18</x:v>
      </x:c>
      <x:c r="I414" s="7">
        <x:v>9291.81</x:v>
      </x:c>
      <x:c r="J414" s="2" t="n">
        <x:v>1</x:v>
      </x:c>
      <x:c r="K414" s="5" t="n">
        <x:f>Tabela1[[#This Row],[Estoque total]]-Tabela1[[#This Row],[Consumo]]</x:f>
        <x:v>8</x:v>
      </x:c>
      <x:c r="L414" s="9" t="n">
        <x:f>(Tabela1[[#This Row],[Valor total]]/Tabela1[[#This Row],[Estoque total]])*Tabela1[[#This Row],[Consumo]]</x:f>
        <x:v>1032.4233333333332</x:v>
      </x:c>
    </x:row>
    <x:row r="415">
      <x:c r="A415" s="2" t="s">
        <x:v>825</x:v>
      </x:c>
      <x:c r="B415" s="2" t="s">
        <x:v>826</x:v>
      </x:c>
      <x:c r="C415" s="2" t="s">
        <x:v>14</x:v>
      </x:c>
      <x:c r="D415" s="2" t="s">
        <x:v>15</x:v>
      </x:c>
      <x:c r="E415" s="2" t="s">
        <x:v>16</x:v>
      </x:c>
      <x:c r="F415" s="2" t="s">
        <x:v>17</x:v>
      </x:c>
      <x:c r="G415" s="3">
        <x:v>16</x:v>
      </x:c>
      <x:c r="H415" s="2" t="s">
        <x:v>18</x:v>
      </x:c>
      <x:c r="I415" s="7">
        <x:v>15306.26</x:v>
      </x:c>
      <x:c r="J415" s="2" t="n">
        <x:v>6</x:v>
      </x:c>
      <x:c r="K415" s="5" t="n">
        <x:f>Tabela1[[#This Row],[Estoque total]]-Tabela1[[#This Row],[Consumo]]</x:f>
        <x:v>10</x:v>
      </x:c>
      <x:c r="L415" s="9" t="n">
        <x:f>(Tabela1[[#This Row],[Valor total]]/Tabela1[[#This Row],[Estoque total]])*Tabela1[[#This Row],[Consumo]]</x:f>
        <x:v>5739.8475</x:v>
      </x:c>
    </x:row>
    <x:row r="416">
      <x:c r="A416" s="2" t="s">
        <x:v>827</x:v>
      </x:c>
      <x:c r="B416" s="2" t="s">
        <x:v>828</x:v>
      </x:c>
      <x:c r="C416" s="2" t="s">
        <x:v>14</x:v>
      </x:c>
      <x:c r="D416" s="2" t="s">
        <x:v>15</x:v>
      </x:c>
      <x:c r="E416" s="2" t="s">
        <x:v>16</x:v>
      </x:c>
      <x:c r="F416" s="2" t="s">
        <x:v>17</x:v>
      </x:c>
      <x:c r="G416" s="3">
        <x:v>4</x:v>
      </x:c>
      <x:c r="H416" s="2" t="s">
        <x:v>18</x:v>
      </x:c>
      <x:c r="I416" s="7">
        <x:v>1406.94</x:v>
      </x:c>
      <x:c r="J416" s="2"/>
      <x:c r="K416" s="5" t="e">
        <x:f>Tabela1[[#This Row],[Estoque total]]-Tabela1[[#This Row],[Consumo]]</x:f>
        <x:v>#VALUE!</x:v>
      </x:c>
      <x:c r="L416" s="9" t="e">
        <x:f>(Tabela1[[#This Row],[Valor total]]/Tabela1[[#This Row],[Estoque total]])*Tabela1[[#This Row],[Consumo]]</x:f>
        <x:v>#VALUE!</x:v>
      </x:c>
    </x:row>
    <x:row r="417">
      <x:c r="A417" s="2" t="s">
        <x:v>829</x:v>
      </x:c>
      <x:c r="B417" s="2" t="s">
        <x:v>830</x:v>
      </x:c>
      <x:c r="C417" s="2" t="s">
        <x:v>14</x:v>
      </x:c>
      <x:c r="D417" s="2" t="s">
        <x:v>15</x:v>
      </x:c>
      <x:c r="E417" s="2" t="s">
        <x:v>16</x:v>
      </x:c>
      <x:c r="F417" s="2" t="s">
        <x:v>17</x:v>
      </x:c>
      <x:c r="G417" s="3">
        <x:v>3</x:v>
      </x:c>
      <x:c r="H417" s="2" t="s">
        <x:v>18</x:v>
      </x:c>
      <x:c r="I417" s="7">
        <x:v>3435.29</x:v>
      </x:c>
      <x:c r="J417" s="2"/>
      <x:c r="K417" s="5" t="e">
        <x:f>Tabela1[[#This Row],[Estoque total]]-Tabela1[[#This Row],[Consumo]]</x:f>
        <x:v>#VALUE!</x:v>
      </x:c>
      <x:c r="L417" s="9" t="e">
        <x:f>(Tabela1[[#This Row],[Valor total]]/Tabela1[[#This Row],[Estoque total]])*Tabela1[[#This Row],[Consumo]]</x:f>
        <x:v>#VALUE!</x:v>
      </x:c>
    </x:row>
    <x:row r="418">
      <x:c r="A418" s="2" t="s">
        <x:v>831</x:v>
      </x:c>
      <x:c r="B418" s="2" t="s">
        <x:v>832</x:v>
      </x:c>
      <x:c r="C418" s="2" t="s">
        <x:v>14</x:v>
      </x:c>
      <x:c r="D418" s="2" t="s">
        <x:v>15</x:v>
      </x:c>
      <x:c r="E418" s="2" t="s">
        <x:v>16</x:v>
      </x:c>
      <x:c r="F418" s="2" t="s">
        <x:v>17</x:v>
      </x:c>
      <x:c r="G418" s="3">
        <x:v>1</x:v>
      </x:c>
      <x:c r="H418" s="2" t="s">
        <x:v>18</x:v>
      </x:c>
      <x:c r="I418" s="7">
        <x:v>1265.69</x:v>
      </x:c>
      <x:c r="J418" s="2"/>
      <x:c r="K418" s="5" t="e">
        <x:f>Tabela1[[#This Row],[Estoque total]]-Tabela1[[#This Row],[Consumo]]</x:f>
        <x:v>#VALUE!</x:v>
      </x:c>
      <x:c r="L418" s="9" t="e">
        <x:f>(Tabela1[[#This Row],[Valor total]]/Tabela1[[#This Row],[Estoque total]])*Tabela1[[#This Row],[Consumo]]</x:f>
        <x:v>#VALUE!</x:v>
      </x:c>
    </x:row>
    <x:row r="419">
      <x:c r="A419" s="2" t="s">
        <x:v>833</x:v>
      </x:c>
      <x:c r="B419" s="2" t="s">
        <x:v>834</x:v>
      </x:c>
      <x:c r="C419" s="2" t="s">
        <x:v>14</x:v>
      </x:c>
      <x:c r="D419" s="2" t="s">
        <x:v>15</x:v>
      </x:c>
      <x:c r="E419" s="2" t="s">
        <x:v>16</x:v>
      </x:c>
      <x:c r="F419" s="2" t="s">
        <x:v>17</x:v>
      </x:c>
      <x:c r="G419" s="3">
        <x:v>6</x:v>
      </x:c>
      <x:c r="H419" s="2" t="s">
        <x:v>18</x:v>
      </x:c>
      <x:c r="I419" s="7">
        <x:v>6550.58</x:v>
      </x:c>
      <x:c r="J419" s="2" t="n">
        <x:v>2</x:v>
      </x:c>
      <x:c r="K419" s="5" t="n">
        <x:f>Tabela1[[#This Row],[Estoque total]]-Tabela1[[#This Row],[Consumo]]</x:f>
        <x:v>4</x:v>
      </x:c>
      <x:c r="L419" s="9" t="n">
        <x:f>(Tabela1[[#This Row],[Valor total]]/Tabela1[[#This Row],[Estoque total]])*Tabela1[[#This Row],[Consumo]]</x:f>
        <x:v>2183.5266666666666</x:v>
      </x:c>
    </x:row>
    <x:row r="420">
      <x:c r="A420" s="2" t="s">
        <x:v>835</x:v>
      </x:c>
      <x:c r="B420" s="2" t="s">
        <x:v>836</x:v>
      </x:c>
      <x:c r="C420" s="2" t="s">
        <x:v>14</x:v>
      </x:c>
      <x:c r="D420" s="2" t="s">
        <x:v>15</x:v>
      </x:c>
      <x:c r="E420" s="2" t="s">
        <x:v>16</x:v>
      </x:c>
      <x:c r="F420" s="2" t="s">
        <x:v>17</x:v>
      </x:c>
      <x:c r="G420" s="3">
        <x:v>2</x:v>
      </x:c>
      <x:c r="H420" s="2" t="s">
        <x:v>18</x:v>
      </x:c>
      <x:c r="I420" s="7">
        <x:v>2554.11</x:v>
      </x:c>
      <x:c r="J420" s="2" t="n">
        <x:v>2</x:v>
      </x:c>
      <x:c r="K420" s="5" t="n">
        <x:f>Tabela1[[#This Row],[Estoque total]]-Tabela1[[#This Row],[Consumo]]</x:f>
        <x:v>0</x:v>
      </x:c>
      <x:c r="L420" s="9" t="n">
        <x:f>(Tabela1[[#This Row],[Valor total]]/Tabela1[[#This Row],[Estoque total]])*Tabela1[[#This Row],[Consumo]]</x:f>
        <x:v>2554.11</x:v>
      </x:c>
    </x:row>
    <x:row r="421">
      <x:c r="A421" s="2" t="s">
        <x:v>837</x:v>
      </x:c>
      <x:c r="B421" s="2" t="s">
        <x:v>838</x:v>
      </x:c>
      <x:c r="C421" s="2" t="s">
        <x:v>14</x:v>
      </x:c>
      <x:c r="D421" s="2" t="s">
        <x:v>15</x:v>
      </x:c>
      <x:c r="E421" s="2" t="s">
        <x:v>16</x:v>
      </x:c>
      <x:c r="F421" s="2" t="s">
        <x:v>17</x:v>
      </x:c>
      <x:c r="G421" s="3">
        <x:v>2</x:v>
      </x:c>
      <x:c r="H421" s="2" t="s">
        <x:v>18</x:v>
      </x:c>
      <x:c r="I421" s="7">
        <x:v>2571.77</x:v>
      </x:c>
      <x:c r="J421" s="2" t="n">
        <x:v>2</x:v>
      </x:c>
      <x:c r="K421" s="5" t="n">
        <x:f>Tabela1[[#This Row],[Estoque total]]-Tabela1[[#This Row],[Consumo]]</x:f>
        <x:v>0</x:v>
      </x:c>
      <x:c r="L421" s="9" t="n">
        <x:f>(Tabela1[[#This Row],[Valor total]]/Tabela1[[#This Row],[Estoque total]])*Tabela1[[#This Row],[Consumo]]</x:f>
        <x:v>2571.77</x:v>
      </x:c>
    </x:row>
    <x:row r="422">
      <x:c r="A422" s="2" t="s">
        <x:v>839</x:v>
      </x:c>
      <x:c r="B422" s="2" t="s">
        <x:v>840</x:v>
      </x:c>
      <x:c r="C422" s="2" t="s">
        <x:v>14</x:v>
      </x:c>
      <x:c r="D422" s="2" t="s">
        <x:v>15</x:v>
      </x:c>
      <x:c r="E422" s="2" t="s">
        <x:v>16</x:v>
      </x:c>
      <x:c r="F422" s="2" t="s">
        <x:v>17</x:v>
      </x:c>
      <x:c r="G422" s="3">
        <x:v>1</x:v>
      </x:c>
      <x:c r="H422" s="2" t="s">
        <x:v>18</x:v>
      </x:c>
      <x:c r="I422" s="7">
        <x:v>1436.84</x:v>
      </x:c>
      <x:c r="J422" s="2"/>
      <x:c r="K422" s="5" t="e">
        <x:f>Tabela1[[#This Row],[Estoque total]]-Tabela1[[#This Row],[Consumo]]</x:f>
        <x:v>#VALUE!</x:v>
      </x:c>
      <x:c r="L422" s="9" t="e">
        <x:f>(Tabela1[[#This Row],[Valor total]]/Tabela1[[#This Row],[Estoque total]])*Tabela1[[#This Row],[Consumo]]</x:f>
        <x:v>#VALUE!</x:v>
      </x:c>
    </x:row>
    <x:row r="423">
      <x:c r="A423" s="2" t="s">
        <x:v>841</x:v>
      </x:c>
      <x:c r="B423" s="2" t="s">
        <x:v>842</x:v>
      </x:c>
      <x:c r="C423" s="2" t="s">
        <x:v>14</x:v>
      </x:c>
      <x:c r="D423" s="2" t="s">
        <x:v>15</x:v>
      </x:c>
      <x:c r="E423" s="2" t="s">
        <x:v>16</x:v>
      </x:c>
      <x:c r="F423" s="2" t="s">
        <x:v>17</x:v>
      </x:c>
      <x:c r="G423" s="3">
        <x:v>1</x:v>
      </x:c>
      <x:c r="H423" s="2" t="s">
        <x:v>18</x:v>
      </x:c>
      <x:c r="I423" s="7">
        <x:v>1372.31</x:v>
      </x:c>
      <x:c r="J423" s="2"/>
      <x:c r="K423" s="5" t="e">
        <x:f>Tabela1[[#This Row],[Estoque total]]-Tabela1[[#This Row],[Consumo]]</x:f>
        <x:v>#VALUE!</x:v>
      </x:c>
      <x:c r="L423" s="9" t="e">
        <x:f>(Tabela1[[#This Row],[Valor total]]/Tabela1[[#This Row],[Estoque total]])*Tabela1[[#This Row],[Consumo]]</x:f>
        <x:v>#VALUE!</x:v>
      </x:c>
    </x:row>
    <x:row r="424">
      <x:c r="A424" s="2" t="s">
        <x:v>843</x:v>
      </x:c>
      <x:c r="B424" s="2" t="s">
        <x:v>844</x:v>
      </x:c>
      <x:c r="C424" s="2" t="s">
        <x:v>14</x:v>
      </x:c>
      <x:c r="D424" s="2" t="s">
        <x:v>15</x:v>
      </x:c>
      <x:c r="E424" s="2" t="s">
        <x:v>16</x:v>
      </x:c>
      <x:c r="F424" s="2" t="s">
        <x:v>31</x:v>
      </x:c>
      <x:c r="G424" s="3">
        <x:v>70</x:v>
      </x:c>
      <x:c r="H424" s="2" t="s">
        <x:v>18</x:v>
      </x:c>
      <x:c r="I424" s="7">
        <x:v>61.76</x:v>
      </x:c>
      <x:c r="J424" s="2"/>
      <x:c r="K424" s="5" t="e">
        <x:f>Tabela1[[#This Row],[Estoque total]]-Tabela1[[#This Row],[Consumo]]</x:f>
        <x:v>#VALUE!</x:v>
      </x:c>
      <x:c r="L424" s="9" t="e">
        <x:f>(Tabela1[[#This Row],[Valor total]]/Tabela1[[#This Row],[Estoque total]])*Tabela1[[#This Row],[Consumo]]</x:f>
        <x:v>#VALUE!</x:v>
      </x:c>
    </x:row>
    <x:row r="425">
      <x:c r="A425" s="2" t="s">
        <x:v>845</x:v>
      </x:c>
      <x:c r="B425" s="2" t="s">
        <x:v>846</x:v>
      </x:c>
      <x:c r="C425" s="2" t="s">
        <x:v>14</x:v>
      </x:c>
      <x:c r="D425" s="2" t="s">
        <x:v>15</x:v>
      </x:c>
      <x:c r="E425" s="2" t="s">
        <x:v>16</x:v>
      </x:c>
      <x:c r="F425" s="2" t="s">
        <x:v>31</x:v>
      </x:c>
      <x:c r="G425" s="3">
        <x:v>2</x:v>
      </x:c>
      <x:c r="H425" s="2" t="s">
        <x:v>18</x:v>
      </x:c>
      <x:c r="I425" s="7">
        <x:v>0</x:v>
      </x:c>
      <x:c r="J425" s="2"/>
      <x:c r="K425" s="5" t="e">
        <x:f>Tabela1[[#This Row],[Estoque total]]-Tabela1[[#This Row],[Consumo]]</x:f>
        <x:v>#VALUE!</x:v>
      </x:c>
      <x:c r="L425" s="9" t="e">
        <x:f>(Tabela1[[#This Row],[Valor total]]/Tabela1[[#This Row],[Estoque total]])*Tabela1[[#This Row],[Consumo]]</x:f>
        <x:v>#VALUE!</x:v>
      </x:c>
    </x:row>
    <x:row r="426">
      <x:c r="A426" s="2" t="s">
        <x:v>845</x:v>
      </x:c>
      <x:c r="B426" s="2" t="s">
        <x:v>846</x:v>
      </x:c>
      <x:c r="C426" s="2" t="s">
        <x:v>14</x:v>
      </x:c>
      <x:c r="D426" s="2" t="s">
        <x:v>15</x:v>
      </x:c>
      <x:c r="E426" s="2" t="s">
        <x:v>16</x:v>
      </x:c>
      <x:c r="F426" s="2" t="s">
        <x:v>17</x:v>
      </x:c>
      <x:c r="G426" s="3">
        <x:v>2</x:v>
      </x:c>
      <x:c r="H426" s="2" t="s">
        <x:v>18</x:v>
      </x:c>
      <x:c r="I426" s="7">
        <x:v>0</x:v>
      </x:c>
      <x:c r="J426" s="2" t="n">
        <x:v>2</x:v>
      </x:c>
      <x:c r="K426" s="5" t="n">
        <x:f>Tabela1[[#This Row],[Estoque total]]-Tabela1[[#This Row],[Consumo]]</x:f>
        <x:v>0</x:v>
      </x:c>
      <x:c r="L426" s="9" t="n">
        <x:f>(Tabela1[[#This Row],[Valor total]]/Tabela1[[#This Row],[Estoque total]])*Tabela1[[#This Row],[Consumo]]</x:f>
        <x:v>0</x:v>
      </x:c>
    </x:row>
    <x:row r="427">
      <x:c r="A427" s="2" t="s">
        <x:v>847</x:v>
      </x:c>
      <x:c r="B427" s="2" t="s">
        <x:v>848</x:v>
      </x:c>
      <x:c r="C427" s="2" t="s">
        <x:v>14</x:v>
      </x:c>
      <x:c r="D427" s="2" t="s">
        <x:v>15</x:v>
      </x:c>
      <x:c r="E427" s="2" t="s">
        <x:v>16</x:v>
      </x:c>
      <x:c r="F427" s="2" t="s">
        <x:v>31</x:v>
      </x:c>
      <x:c r="G427" s="3">
        <x:v>1</x:v>
      </x:c>
      <x:c r="H427" s="2" t="s">
        <x:v>18</x:v>
      </x:c>
      <x:c r="I427" s="7">
        <x:v>8.0500000000000007</x:v>
      </x:c>
      <x:c r="J427" s="2"/>
      <x:c r="K427" s="5" t="e">
        <x:f>Tabela1[[#This Row],[Estoque total]]-Tabela1[[#This Row],[Consumo]]</x:f>
        <x:v>#VALUE!</x:v>
      </x:c>
      <x:c r="L427" s="9" t="e">
        <x:f>(Tabela1[[#This Row],[Valor total]]/Tabela1[[#This Row],[Estoque total]])*Tabela1[[#This Row],[Consumo]]</x:f>
        <x:v>#VALUE!</x:v>
      </x:c>
    </x:row>
    <x:row r="428">
      <x:c r="A428" s="2" t="s">
        <x:v>849</x:v>
      </x:c>
      <x:c r="B428" s="2" t="s">
        <x:v>850</x:v>
      </x:c>
      <x:c r="C428" s="2" t="s">
        <x:v>14</x:v>
      </x:c>
      <x:c r="D428" s="2" t="s">
        <x:v>15</x:v>
      </x:c>
      <x:c r="E428" s="2" t="s">
        <x:v>16</x:v>
      </x:c>
      <x:c r="F428" s="2" t="s">
        <x:v>31</x:v>
      </x:c>
      <x:c r="G428" s="3">
        <x:v>3</x:v>
      </x:c>
      <x:c r="H428" s="2" t="s">
        <x:v>18</x:v>
      </x:c>
      <x:c r="I428" s="7">
        <x:v>12.06</x:v>
      </x:c>
      <x:c r="J428" s="2"/>
      <x:c r="K428" s="5" t="e">
        <x:f>Tabela1[[#This Row],[Estoque total]]-Tabela1[[#This Row],[Consumo]]</x:f>
        <x:v>#VALUE!</x:v>
      </x:c>
      <x:c r="L428" s="9" t="e">
        <x:f>(Tabela1[[#This Row],[Valor total]]/Tabela1[[#This Row],[Estoque total]])*Tabela1[[#This Row],[Consumo]]</x:f>
        <x:v>#VALUE!</x:v>
      </x:c>
    </x:row>
    <x:row r="429">
      <x:c r="A429" s="2" t="s">
        <x:v>851</x:v>
      </x:c>
      <x:c r="B429" s="2" t="s">
        <x:v>852</x:v>
      </x:c>
      <x:c r="C429" s="2" t="s">
        <x:v>14</x:v>
      </x:c>
      <x:c r="D429" s="2" t="s">
        <x:v>15</x:v>
      </x:c>
      <x:c r="E429" s="2" t="s">
        <x:v>16</x:v>
      </x:c>
      <x:c r="F429" s="2" t="s">
        <x:v>17</x:v>
      </x:c>
      <x:c r="G429" s="3">
        <x:v>200</x:v>
      </x:c>
      <x:c r="H429" s="2" t="s">
        <x:v>18</x:v>
      </x:c>
      <x:c r="I429" s="7">
        <x:v>320</x:v>
      </x:c>
      <x:c r="J429" s="2"/>
      <x:c r="K429" s="5" t="e">
        <x:f>Tabela1[[#This Row],[Estoque total]]-Tabela1[[#This Row],[Consumo]]</x:f>
        <x:v>#VALUE!</x:v>
      </x:c>
      <x:c r="L429" s="9" t="e">
        <x:f>(Tabela1[[#This Row],[Valor total]]/Tabela1[[#This Row],[Estoque total]])*Tabela1[[#This Row],[Consumo]]</x:f>
        <x:v>#VALUE!</x:v>
      </x:c>
    </x:row>
    <x:row r="430">
      <x:c r="A430" s="2" t="s">
        <x:v>853</x:v>
      </x:c>
      <x:c r="B430" s="2" t="s">
        <x:v>854</x:v>
      </x:c>
      <x:c r="C430" s="2" t="s">
        <x:v>14</x:v>
      </x:c>
      <x:c r="D430" s="2" t="s">
        <x:v>15</x:v>
      </x:c>
      <x:c r="E430" s="2" t="s">
        <x:v>16</x:v>
      </x:c>
      <x:c r="F430" s="2" t="s">
        <x:v>17</x:v>
      </x:c>
      <x:c r="G430" s="3">
        <x:v>500</x:v>
      </x:c>
      <x:c r="H430" s="2" t="s">
        <x:v>18</x:v>
      </x:c>
      <x:c r="I430" s="7">
        <x:v>800</x:v>
      </x:c>
      <x:c r="J430" s="2"/>
      <x:c r="K430" s="5" t="e">
        <x:f>Tabela1[[#This Row],[Estoque total]]-Tabela1[[#This Row],[Consumo]]</x:f>
        <x:v>#VALUE!</x:v>
      </x:c>
      <x:c r="L430" s="9" t="e">
        <x:f>(Tabela1[[#This Row],[Valor total]]/Tabela1[[#This Row],[Estoque total]])*Tabela1[[#This Row],[Consumo]]</x:f>
        <x:v>#VALUE!</x:v>
      </x:c>
    </x:row>
    <x:row r="431">
      <x:c r="A431" s="2" t="s">
        <x:v>855</x:v>
      </x:c>
      <x:c r="B431" s="2" t="s">
        <x:v>856</x:v>
      </x:c>
      <x:c r="C431" s="2" t="s">
        <x:v>14</x:v>
      </x:c>
      <x:c r="D431" s="2" t="s">
        <x:v>15</x:v>
      </x:c>
      <x:c r="E431" s="2" t="s">
        <x:v>16</x:v>
      </x:c>
      <x:c r="F431" s="2" t="s">
        <x:v>17</x:v>
      </x:c>
      <x:c r="G431" s="3">
        <x:v>200</x:v>
      </x:c>
      <x:c r="H431" s="2" t="s">
        <x:v>18</x:v>
      </x:c>
      <x:c r="I431" s="7">
        <x:v>320</x:v>
      </x:c>
      <x:c r="J431" s="2"/>
      <x:c r="K431" s="5" t="e">
        <x:f>Tabela1[[#This Row],[Estoque total]]-Tabela1[[#This Row],[Consumo]]</x:f>
        <x:v>#VALUE!</x:v>
      </x:c>
      <x:c r="L431" s="9" t="e">
        <x:f>(Tabela1[[#This Row],[Valor total]]/Tabela1[[#This Row],[Estoque total]])*Tabela1[[#This Row],[Consumo]]</x:f>
        <x:v>#VALUE!</x:v>
      </x:c>
    </x:row>
    <x:row r="432">
      <x:c r="A432" s="2" t="s">
        <x:v>857</x:v>
      </x:c>
      <x:c r="B432" s="2" t="s">
        <x:v>858</x:v>
      </x:c>
      <x:c r="C432" s="2" t="s">
        <x:v>14</x:v>
      </x:c>
      <x:c r="D432" s="2" t="s">
        <x:v>15</x:v>
      </x:c>
      <x:c r="E432" s="2" t="s">
        <x:v>16</x:v>
      </x:c>
      <x:c r="F432" s="2" t="s">
        <x:v>17</x:v>
      </x:c>
      <x:c r="G432" s="3">
        <x:v>20</x:v>
      </x:c>
      <x:c r="H432" s="2" t="s">
        <x:v>18</x:v>
      </x:c>
      <x:c r="I432" s="7">
        <x:v>48200</x:v>
      </x:c>
      <x:c r="J432" s="2"/>
      <x:c r="K432" s="5" t="e">
        <x:f>Tabela1[[#This Row],[Estoque total]]-Tabela1[[#This Row],[Consumo]]</x:f>
        <x:v>#VALUE!</x:v>
      </x:c>
      <x:c r="L432" s="9" t="e">
        <x:f>(Tabela1[[#This Row],[Valor total]]/Tabela1[[#This Row],[Estoque total]])*Tabela1[[#This Row],[Consumo]]</x:f>
        <x:v>#VALUE!</x:v>
      </x:c>
    </x:row>
    <x:row r="433">
      <x:c r="A433" s="2" t="s">
        <x:v>859</x:v>
      </x:c>
      <x:c r="B433" s="2" t="s">
        <x:v>860</x:v>
      </x:c>
      <x:c r="C433" s="2" t="s">
        <x:v>14</x:v>
      </x:c>
      <x:c r="D433" s="2" t="s">
        <x:v>15</x:v>
      </x:c>
      <x:c r="E433" s="2" t="s">
        <x:v>16</x:v>
      </x:c>
      <x:c r="F433" s="2" t="s">
        <x:v>17</x:v>
      </x:c>
      <x:c r="G433" s="3">
        <x:v>48</x:v>
      </x:c>
      <x:c r="H433" s="2" t="s">
        <x:v>544</x:v>
      </x:c>
      <x:c r="I433" s="7">
        <x:v>271.2</x:v>
      </x:c>
      <x:c r="J433" s="2"/>
      <x:c r="K433" s="5" t="e">
        <x:f>Tabela1[[#This Row],[Estoque total]]-Tabela1[[#This Row],[Consumo]]</x:f>
        <x:v>#VALUE!</x:v>
      </x:c>
      <x:c r="L433" s="9" t="e">
        <x:f>(Tabela1[[#This Row],[Valor total]]/Tabela1[[#This Row],[Estoque total]])*Tabela1[[#This Row],[Consumo]]</x:f>
        <x:v>#VALUE!</x:v>
      </x:c>
    </x:row>
    <x:row r="434">
      <x:c r="A434" s="2" t="s">
        <x:v>861</x:v>
      </x:c>
      <x:c r="B434" s="2" t="s">
        <x:v>862</x:v>
      </x:c>
      <x:c r="C434" s="2" t="s">
        <x:v>14</x:v>
      </x:c>
      <x:c r="D434" s="2" t="s">
        <x:v>15</x:v>
      </x:c>
      <x:c r="E434" s="2" t="s">
        <x:v>16</x:v>
      </x:c>
      <x:c r="F434" s="2" t="s">
        <x:v>17</x:v>
      </x:c>
      <x:c r="G434" s="3">
        <x:v>180</x:v>
      </x:c>
      <x:c r="H434" s="2" t="s">
        <x:v>544</x:v>
      </x:c>
      <x:c r="I434" s="7">
        <x:v>2611.8000000000002</x:v>
      </x:c>
      <x:c r="J434" s="2"/>
      <x:c r="K434" s="5" t="e">
        <x:f>Tabela1[[#This Row],[Estoque total]]-Tabela1[[#This Row],[Consumo]]</x:f>
        <x:v>#VALUE!</x:v>
      </x:c>
      <x:c r="L434" s="9" t="e">
        <x:f>(Tabela1[[#This Row],[Valor total]]/Tabela1[[#This Row],[Estoque total]])*Tabela1[[#This Row],[Consumo]]</x:f>
        <x:v>#VALUE!</x:v>
      </x:c>
    </x:row>
    <x:row r="435">
      <x:c r="A435" s="2" t="s">
        <x:v>863</x:v>
      </x:c>
      <x:c r="B435" s="2" t="s">
        <x:v>864</x:v>
      </x:c>
      <x:c r="C435" s="2" t="s">
        <x:v>14</x:v>
      </x:c>
      <x:c r="D435" s="2" t="s">
        <x:v>15</x:v>
      </x:c>
      <x:c r="E435" s="2" t="s">
        <x:v>16</x:v>
      </x:c>
      <x:c r="F435" s="2" t="s">
        <x:v>17</x:v>
      </x:c>
      <x:c r="G435" s="3">
        <x:v>48</x:v>
      </x:c>
      <x:c r="H435" s="2" t="s">
        <x:v>544</x:v>
      </x:c>
      <x:c r="I435" s="7">
        <x:v>1425.12</x:v>
      </x:c>
      <x:c r="J435" s="2"/>
      <x:c r="K435" s="5" t="e">
        <x:f>Tabela1[[#This Row],[Estoque total]]-Tabela1[[#This Row],[Consumo]]</x:f>
        <x:v>#VALUE!</x:v>
      </x:c>
      <x:c r="L435" s="9" t="e">
        <x:f>(Tabela1[[#This Row],[Valor total]]/Tabela1[[#This Row],[Estoque total]])*Tabela1[[#This Row],[Consumo]]</x:f>
        <x:v>#VALUE!</x:v>
      </x:c>
    </x:row>
    <x:row r="436">
      <x:c r="A436" s="2" t="s">
        <x:v>865</x:v>
      </x:c>
      <x:c r="B436" s="2" t="s">
        <x:v>866</x:v>
      </x:c>
      <x:c r="C436" s="2" t="s">
        <x:v>14</x:v>
      </x:c>
      <x:c r="D436" s="2" t="s">
        <x:v>15</x:v>
      </x:c>
      <x:c r="E436" s="2" t="s">
        <x:v>16</x:v>
      </x:c>
      <x:c r="F436" s="2" t="s">
        <x:v>31</x:v>
      </x:c>
      <x:c r="G436" s="3">
        <x:v>1</x:v>
      </x:c>
      <x:c r="H436" s="2" t="s">
        <x:v>18</x:v>
      </x:c>
      <x:c r="I436" s="7">
        <x:v>75.89</x:v>
      </x:c>
      <x:c r="J436" s="2"/>
      <x:c r="K436" s="5" t="e">
        <x:f>Tabela1[[#This Row],[Estoque total]]-Tabela1[[#This Row],[Consumo]]</x:f>
        <x:v>#VALUE!</x:v>
      </x:c>
      <x:c r="L436" s="9" t="e">
        <x:f>(Tabela1[[#This Row],[Valor total]]/Tabela1[[#This Row],[Estoque total]])*Tabela1[[#This Row],[Consumo]]</x:f>
        <x:v>#VALUE!</x:v>
      </x:c>
    </x:row>
    <x:row r="437">
      <x:c r="A437" s="2" t="s">
        <x:v>867</x:v>
      </x:c>
      <x:c r="B437" s="2" t="s">
        <x:v>868</x:v>
      </x:c>
      <x:c r="C437" s="2" t="s">
        <x:v>14</x:v>
      </x:c>
      <x:c r="D437" s="2" t="s">
        <x:v>15</x:v>
      </x:c>
      <x:c r="E437" s="2" t="s">
        <x:v>16</x:v>
      </x:c>
      <x:c r="F437" s="2" t="s">
        <x:v>31</x:v>
      </x:c>
      <x:c r="G437" s="3">
        <x:v>84</x:v>
      </x:c>
      <x:c r="H437" s="2" t="s">
        <x:v>18</x:v>
      </x:c>
      <x:c r="I437" s="7">
        <x:v>584.64</x:v>
      </x:c>
      <x:c r="J437" s="2"/>
      <x:c r="K437" s="5" t="e">
        <x:f>Tabela1[[#This Row],[Estoque total]]-Tabela1[[#This Row],[Consumo]]</x:f>
        <x:v>#VALUE!</x:v>
      </x:c>
      <x:c r="L437" s="9" t="e">
        <x:f>(Tabela1[[#This Row],[Valor total]]/Tabela1[[#This Row],[Estoque total]])*Tabela1[[#This Row],[Consumo]]</x:f>
        <x:v>#VALUE!</x:v>
      </x:c>
    </x:row>
    <x:row r="438">
      <x:c r="A438" s="2" t="s">
        <x:v>867</x:v>
      </x:c>
      <x:c r="B438" s="2" t="s">
        <x:v>868</x:v>
      </x:c>
      <x:c r="C438" s="2" t="s">
        <x:v>14</x:v>
      </x:c>
      <x:c r="D438" s="2" t="s">
        <x:v>15</x:v>
      </x:c>
      <x:c r="E438" s="2" t="s">
        <x:v>16</x:v>
      </x:c>
      <x:c r="F438" s="2" t="s">
        <x:v>17</x:v>
      </x:c>
      <x:c r="G438" s="3">
        <x:v>420</x:v>
      </x:c>
      <x:c r="H438" s="2" t="s">
        <x:v>18</x:v>
      </x:c>
      <x:c r="I438" s="7">
        <x:v>2591.4</x:v>
      </x:c>
      <x:c r="J438" s="2" t="n">
        <x:v>78</x:v>
      </x:c>
      <x:c r="K438" s="5" t="n">
        <x:f>Tabela1[[#This Row],[Estoque total]]-Tabela1[[#This Row],[Consumo]]</x:f>
        <x:v>342</x:v>
      </x:c>
      <x:c r="L438" s="9" t="n">
        <x:f>(Tabela1[[#This Row],[Valor total]]/Tabela1[[#This Row],[Estoque total]])*Tabela1[[#This Row],[Consumo]]</x:f>
        <x:v>481.26</x:v>
      </x:c>
    </x:row>
    <x:row r="439">
      <x:c r="A439" s="2" t="s">
        <x:v>869</x:v>
      </x:c>
      <x:c r="B439" s="2" t="s">
        <x:v>870</x:v>
      </x:c>
      <x:c r="C439" s="2" t="s">
        <x:v>14</x:v>
      </x:c>
      <x:c r="D439" s="2" t="s">
        <x:v>15</x:v>
      </x:c>
      <x:c r="E439" s="2" t="s">
        <x:v>16</x:v>
      </x:c>
      <x:c r="F439" s="2" t="s">
        <x:v>31</x:v>
      </x:c>
      <x:c r="G439" s="3">
        <x:v>8</x:v>
      </x:c>
      <x:c r="H439" s="2" t="s">
        <x:v>18</x:v>
      </x:c>
      <x:c r="I439" s="7">
        <x:v>17.2</x:v>
      </x:c>
      <x:c r="J439" s="2"/>
      <x:c r="K439" s="5" t="e">
        <x:f>Tabela1[[#This Row],[Estoque total]]-Tabela1[[#This Row],[Consumo]]</x:f>
        <x:v>#VALUE!</x:v>
      </x:c>
      <x:c r="L439" s="9" t="e">
        <x:f>(Tabela1[[#This Row],[Valor total]]/Tabela1[[#This Row],[Estoque total]])*Tabela1[[#This Row],[Consumo]]</x:f>
        <x:v>#VALUE!</x:v>
      </x:c>
    </x:row>
    <x:row r="440">
      <x:c r="A440" s="2" t="s">
        <x:v>869</x:v>
      </x:c>
      <x:c r="B440" s="2" t="s">
        <x:v>870</x:v>
      </x:c>
      <x:c r="C440" s="2" t="s">
        <x:v>14</x:v>
      </x:c>
      <x:c r="D440" s="2" t="s">
        <x:v>15</x:v>
      </x:c>
      <x:c r="E440" s="2" t="s">
        <x:v>16</x:v>
      </x:c>
      <x:c r="F440" s="2" t="s">
        <x:v>17</x:v>
      </x:c>
      <x:c r="G440" s="3">
        <x:v>174</x:v>
      </x:c>
      <x:c r="H440" s="2" t="s">
        <x:v>18</x:v>
      </x:c>
      <x:c r="I440" s="7">
        <x:v>374.1</x:v>
      </x:c>
      <x:c r="J440" s="2" t="n">
        <x:v>2</x:v>
      </x:c>
      <x:c r="K440" s="5" t="n">
        <x:f>Tabela1[[#This Row],[Estoque total]]-Tabela1[[#This Row],[Consumo]]</x:f>
        <x:v>172</x:v>
      </x:c>
      <x:c r="L440" s="9" t="n">
        <x:f>(Tabela1[[#This Row],[Valor total]]/Tabela1[[#This Row],[Estoque total]])*Tabela1[[#This Row],[Consumo]]</x:f>
        <x:v>4.3</x:v>
      </x:c>
    </x:row>
    <x:row r="441">
      <x:c r="A441" s="2" t="s">
        <x:v>871</x:v>
      </x:c>
      <x:c r="B441" s="2" t="s">
        <x:v>872</x:v>
      </x:c>
      <x:c r="C441" s="2" t="s">
        <x:v>14</x:v>
      </x:c>
      <x:c r="D441" s="2" t="s">
        <x:v>15</x:v>
      </x:c>
      <x:c r="E441" s="2" t="s">
        <x:v>16</x:v>
      </x:c>
      <x:c r="F441" s="2" t="s">
        <x:v>17</x:v>
      </x:c>
      <x:c r="G441" s="3">
        <x:v>4</x:v>
      </x:c>
      <x:c r="H441" s="2" t="s">
        <x:v>18</x:v>
      </x:c>
      <x:c r="I441" s="7">
        <x:v>61.05</x:v>
      </x:c>
      <x:c r="J441" s="2"/>
      <x:c r="K441" s="5" t="e">
        <x:f>Tabela1[[#This Row],[Estoque total]]-Tabela1[[#This Row],[Consumo]]</x:f>
        <x:v>#VALUE!</x:v>
      </x:c>
      <x:c r="L441" s="9" t="e">
        <x:f>(Tabela1[[#This Row],[Valor total]]/Tabela1[[#This Row],[Estoque total]])*Tabela1[[#This Row],[Consumo]]</x:f>
        <x:v>#VALUE!</x:v>
      </x:c>
    </x:row>
    <x:row r="442">
      <x:c r="A442" s="2" t="s">
        <x:v>873</x:v>
      </x:c>
      <x:c r="B442" s="2" t="s">
        <x:v>874</x:v>
      </x:c>
      <x:c r="C442" s="2" t="s">
        <x:v>14</x:v>
      </x:c>
      <x:c r="D442" s="2" t="s">
        <x:v>15</x:v>
      </x:c>
      <x:c r="E442" s="2" t="s">
        <x:v>16</x:v>
      </x:c>
      <x:c r="F442" s="2" t="s">
        <x:v>31</x:v>
      </x:c>
      <x:c r="G442" s="3">
        <x:v>1</x:v>
      </x:c>
      <x:c r="H442" s="2" t="s">
        <x:v>18</x:v>
      </x:c>
      <x:c r="I442" s="7">
        <x:v>13.02</x:v>
      </x:c>
      <x:c r="J442" s="2"/>
      <x:c r="K442" s="5" t="e">
        <x:f>Tabela1[[#This Row],[Estoque total]]-Tabela1[[#This Row],[Consumo]]</x:f>
        <x:v>#VALUE!</x:v>
      </x:c>
      <x:c r="L442" s="9" t="e">
        <x:f>(Tabela1[[#This Row],[Valor total]]/Tabela1[[#This Row],[Estoque total]])*Tabela1[[#This Row],[Consumo]]</x:f>
        <x:v>#VALUE!</x:v>
      </x:c>
    </x:row>
  </x:sheetData>
  <x:pageMargins left="0.7" right="0.7" top="0.75" bottom="0.75" header="0.3" footer="0.3"/>
  <x:tableParts count="1">
    <x:tablePart xmlns:r="http://schemas.openxmlformats.org/officeDocument/2006/relationships" r:id="Rc1cb20eca20a462e"/>
  </x:tableParts>
</x:worksheet>
</file>