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89ebac1b8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4a9f68948534312"/>
    <x:sheet xmlns:r="http://schemas.openxmlformats.org/officeDocument/2006/relationships" name="Hilti" sheetId="2" r:id="R81e81d179f7f445d"/>
    <x:sheet xmlns:r="http://schemas.openxmlformats.org/officeDocument/2006/relationships" name="Makita" sheetId="3" r:id="Rca1e9315da114797"/>
    <x:sheet xmlns:r="http://schemas.openxmlformats.org/officeDocument/2006/relationships" name="Outras Ferramentas" sheetId="4" r:id="R2e7a077c907b4e3a"/>
    <x:sheet xmlns:r="http://schemas.openxmlformats.org/officeDocument/2006/relationships" name="Listagem Completa" sheetId="5" r:id="R1e7a864be56b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6"/>
      <x:color rgb="FFFFFFFF"/>
      <x:name val="Aptos"/>
    </x:font>
    <x:font>
      <x:i/>
      <x:sz val="11"/>
      <x:color rgb="FF666666"/>
      <x:name val="Aptos"/>
    </x:font>
    <x:font>
      <x:sz val="11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</x:fills>
  <x:borders count="11">
    <x:border/>
    <x:border>
      <x:bottom style="double">
        <x:color rgb="FF17365D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0" fillId="0" borderId="0" xfId="0" applyNumberFormat="1" applyFont="1" applyFill="1" applyBorder="1"/>
    <x:xf numFmtId="200" fontId="4" fillId="3" borderId="1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4" fillId="3" borderId="8" xfId="0" applyNumberFormat="1" applyFont="1" applyFill="1" applyBorder="1"/>
    <x:xf numFmtId="200" fontId="4" fillId="3" borderId="9" xfId="0" applyNumberFormat="1" applyFont="1" applyFill="1" applyBorder="1"/>
    <x:xf numFmtId="200" fontId="4" fillId="3" borderId="1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right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8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f78b32f2c4273" /><Relationship Type="http://schemas.openxmlformats.org/officeDocument/2006/relationships/theme" Target="/xl/theme/theme1.xml" Id="R3077116adaf04043" /><Relationship Type="http://schemas.openxmlformats.org/officeDocument/2006/relationships/sharedStrings" Target="/xl/sharedStrings.xml" Id="R51e60d5e28774452" /><Relationship Type="http://schemas.openxmlformats.org/officeDocument/2006/relationships/worksheet" Target="/xl/worksheets/sheet1.xml" Id="R74a9f68948534312" /><Relationship Type="http://schemas.openxmlformats.org/officeDocument/2006/relationships/worksheet" Target="/xl/worksheets/sheet2.xml" Id="R81e81d179f7f445d" /><Relationship Type="http://schemas.openxmlformats.org/officeDocument/2006/relationships/worksheet" Target="/xl/worksheets/sheet3.xml" Id="Rca1e9315da114797" /><Relationship Type="http://schemas.openxmlformats.org/officeDocument/2006/relationships/worksheet" Target="/xl/worksheets/sheet4.xml" Id="R2e7a077c907b4e3a" /><Relationship Type="http://schemas.openxmlformats.org/officeDocument/2006/relationships/worksheet" Target="/xl/worksheets/sheet5.xml" Id="R1e7a864be56b4857" /></Relationships>
</file>

<file path=xl/tables/table1.xml><?xml version="1.0" encoding="utf-8"?>
<x:table xmlns:x="http://schemas.openxmlformats.org/spreadsheetml/2006/main" id="1" name="TblHilti" displayName="TblHilti" ref="A4:G9" headerRowCount="1" totalsRowCount="0" totalsRowShown="0">
  <x:tableColumns count="7">
    <x:tableColumn id="1" name="Código interno"/>
    <x:tableColumn id="2" name="Código SAP"/>
    <x:tableColumn id="3" name="Descrição"/>
    <x:tableColumn id="4" name="Unidade"/>
    <x:tableColumn id="5" name="Fornecedor"/>
    <x:tableColumn id="6" name="Stock atual"/>
    <x:tableColumn id="7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Makita" displayName="TblMakita" ref="A4:G7" headerRowCount="1" totalsRowCount="0" totalsRowShown="0">
  <x:tableColumns count="7">
    <x:tableColumn id="1" name="Código interno"/>
    <x:tableColumn id="2" name="Código SAP"/>
    <x:tableColumn id="3" name="Descrição"/>
    <x:tableColumn id="4" name="Unidade"/>
    <x:tableColumn id="5" name="Fornecedor"/>
    <x:tableColumn id="6" name="Stock atual"/>
    <x:tableColumn id="7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OutrasFerramentas" displayName="TblOutrasFerramentas" ref="A4:G103" headerRowCount="1" totalsRowCount="0" totalsRowShown="0">
  <x:tableColumns count="7">
    <x:tableColumn id="1" name="Código interno"/>
    <x:tableColumn id="2" name="Código SAP"/>
    <x:tableColumn id="3" name="Descrição"/>
    <x:tableColumn id="4" name="Unidade"/>
    <x:tableColumn id="5" name="Fornecedor"/>
    <x:tableColumn id="6" name="Stock atual"/>
    <x:tableColumn id="7" name="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ListagemCompleta" displayName="TblListagemCompleta" ref="A4:H111" headerRowCount="1" totalsRowCount="0" totalsRowShown="0">
  <x:tableColumns count="8">
    <x:tableColumn id="1" name="Grupo"/>
    <x:tableColumn id="2" name="Código interno"/>
    <x:tableColumn id="3" name="Código SAP"/>
    <x:tableColumn id="4" name="Descrição"/>
    <x:tableColumn id="5" name="Unidade"/>
    <x:tableColumn id="6" name="Fornecedor"/>
    <x:tableColumn id="7" name="Stock atual"/>
    <x:tableColumn id="8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f662002a4741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68a18b901343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638190337047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cf8d7dc56141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20" hidden="0" customWidth="1"/>
  </x:cols>
  <x:sheetData>
    <x:row r="1" ht="34" customHeight="1">
      <x:c r="A1" s="3" t="str">
        <x:v>Inventário de Ferramentas</x:v>
      </x:c>
      <x:c r="B1" s="3"/>
      <x:c r="C1" s="3"/>
      <x:c r="D1" s="3"/>
    </x:row>
    <x:row r="2">
      <x:c r="A2" s="5" t="str">
        <x:v>Obra de Vendas Novas · atualizado em 27/07/2026</x:v>
      </x:c>
      <x:c r="B2" s="5"/>
      <x:c r="C2" s="5"/>
      <x:c r="D2" s="5"/>
    </x:row>
    <x:row r="4">
      <x:c r="A4" s="12" t="str">
        <x:v>Grupo</x:v>
      </x:c>
      <x:c r="B4" s="13" t="str">
        <x:v>Referências</x:v>
      </x:c>
      <x:c r="C4" s="13" t="str">
        <x:v>Com stock</x:v>
      </x:c>
      <x:c r="D4" s="14" t="str">
        <x:v>Unidades em stock</x:v>
      </x:c>
    </x:row>
    <x:row r="5">
      <x:c r="A5" s="15" t="str">
        <x:v>Hilti</x:v>
      </x:c>
      <x:c r="B5" s="16" t="n">
        <x:f>COUNTA('Hilti'!A5:A9)</x:f>
        <x:v>5</x:v>
      </x:c>
      <x:c r="C5" s="16" t="n">
        <x:f>COUNTIF('Hilti'!F5:F9,"&gt;0")</x:f>
        <x:v>5</x:v>
      </x:c>
      <x:c r="D5" s="17" t="n">
        <x:f>SUM('Hilti'!F5:F9)</x:f>
        <x:v>7</x:v>
      </x:c>
    </x:row>
    <x:row r="6">
      <x:c r="A6" s="15" t="str">
        <x:v>Makita</x:v>
      </x:c>
      <x:c r="B6" s="16" t="n">
        <x:f>COUNTA('Makita'!A5:A7)</x:f>
        <x:v>3</x:v>
      </x:c>
      <x:c r="C6" s="16" t="n">
        <x:f>COUNTIF('Makita'!F5:F7,"&gt;0")</x:f>
        <x:v>3</x:v>
      </x:c>
      <x:c r="D6" s="17" t="n">
        <x:f>SUM('Makita'!F5:F7)</x:f>
        <x:v>4</x:v>
      </x:c>
    </x:row>
    <x:row r="7">
      <x:c r="A7" s="15" t="str">
        <x:v>Outras Ferramentas</x:v>
      </x:c>
      <x:c r="B7" s="16" t="n">
        <x:f>COUNTA('Outras Ferramentas'!A5:A103)</x:f>
        <x:v>99</x:v>
      </x:c>
      <x:c r="C7" s="16" t="n">
        <x:f>COUNTIF('Outras Ferramentas'!F5:F103,"&gt;0")</x:f>
        <x:v>84</x:v>
      </x:c>
      <x:c r="D7" s="17" t="n">
        <x:f>SUM('Outras Ferramentas'!F5:F103)</x:f>
        <x:v>356</x:v>
      </x:c>
    </x:row>
    <x:row r="8">
      <x:c r="A8" s="18" t="str">
        <x:v>Total</x:v>
      </x:c>
      <x:c r="B8" s="19" t="n">
        <x:f>SUM(B5:B7)</x:f>
        <x:v>107</x:v>
      </x:c>
      <x:c r="C8" s="19" t="n">
        <x:f>SUM(C5:C7)</x:f>
        <x:v>92</x:v>
      </x:c>
      <x:c r="D8" s="20" t="n">
        <x:f>SUM(D5:D7)</x:f>
        <x:v>367</x:v>
      </x:c>
    </x:row>
    <x:row r="10" ht="40" customHeight="1">
      <x:c r="A10" s="23" t="str">
        <x:v>Nota: as linhas sem stock permanecem na listagem para controlo do catálogo. O stock é calculado a partir das entradas e saídas registadas no programa.</x:v>
      </x:c>
      <x:c r="B10" s="23"/>
      <x:c r="C10" s="23"/>
      <x:c r="D10" s="23"/>
    </x:row>
  </x:sheetData>
  <x:mergeCells>
    <x:mergeCell ref="A1:D1"/>
    <x:mergeCell ref="A2:D2"/>
    <x:mergeCell ref="A10:D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48" hidden="0" customWidth="1"/>
    <x:col min="4" max="4" width="10" hidden="0" customWidth="1"/>
    <x:col min="5" max="5" width="38" hidden="0" customWidth="1"/>
    <x:col min="6" max="6" width="12" hidden="0" customWidth="1"/>
    <x:col min="7" max="7" width="14" hidden="0" customWidth="1"/>
  </x:cols>
  <x:sheetData>
    <x:row r="1" ht="30" customHeight="1">
      <x:c r="A1" s="29" t="str">
        <x:v>Ferramentas Hilti</x:v>
      </x:c>
      <x:c r="B1" s="29"/>
      <x:c r="C1" s="29"/>
      <x:c r="D1" s="29"/>
      <x:c r="E1" s="29"/>
      <x:c r="F1" s="29"/>
      <x:c r="G1" s="29"/>
    </x:row>
    <x:row r="2" ht="22" customHeight="1">
      <x:c r="A2" s="30" t="str">
        <x:v>Obra de Vendas Novas · stock calculado pelos movimentos registados · 27/07/2026</x:v>
      </x:c>
      <x:c r="B2" s="30"/>
      <x:c r="C2" s="30"/>
      <x:c r="D2" s="30"/>
      <x:c r="E2" s="30"/>
      <x:c r="F2" s="30"/>
      <x:c r="G2" s="30"/>
    </x:row>
    <x:row r="3">
      <x:c r="A3" s="31"/>
      <x:c r="B3" s="31"/>
      <x:c r="C3" s="31"/>
      <x:c r="D3" s="31"/>
      <x:c r="E3" s="31"/>
      <x:c r="F3" s="31"/>
      <x:c r="G3" s="31"/>
    </x:row>
    <x:row r="4" ht="28" customHeight="1">
      <x:c r="A4" s="32" t="str">
        <x:v>Código interno</x:v>
      </x:c>
      <x:c r="B4" s="32" t="str">
        <x:v>Código SAP</x:v>
      </x:c>
      <x:c r="C4" s="32" t="str">
        <x:v>Descrição</x:v>
      </x:c>
      <x:c r="D4" s="32" t="str">
        <x:v>Unidade</x:v>
      </x:c>
      <x:c r="E4" s="32" t="str">
        <x:v>Fornecedor</x:v>
      </x:c>
      <x:c r="F4" s="32" t="str">
        <x:v>Stock atual</x:v>
      </x:c>
      <x:c r="G4" s="32" t="str">
        <x:v>Estado</x:v>
      </x:c>
    </x:row>
    <x:row r="5">
      <x:c r="A5" s="31" t="str">
        <x:v>2251355</x:v>
      </x:c>
      <x:c r="B5" s="31" t="str"/>
      <x:c r="C5" s="31" t="str">
        <x:v>Bateria B 22-110 Li-ion</x:v>
      </x:c>
      <x:c r="D5" s="31" t="str">
        <x:v>un</x:v>
      </x:c>
      <x:c r="E5" s="31" t="str">
        <x:v>Hilti</x:v>
      </x:c>
      <x:c r="F5" s="33" t="n">
        <x:v>2</x:v>
      </x:c>
      <x:c r="G5" s="31" t="str">
        <x:f>IF(F5&gt;0,"Em stock","Sem stock")</x:f>
        <x:v>Em stock</x:v>
      </x:c>
    </x:row>
    <x:row r="6">
      <x:c r="A6" s="31" t="str">
        <x:v>2316496</x:v>
      </x:c>
      <x:c r="B6" s="31" t="str"/>
      <x:c r="C6" s="31" t="str">
        <x:v>Carregador Bateria C 4-22 230V c</x:v>
      </x:c>
      <x:c r="D6" s="31" t="str">
        <x:v>un</x:v>
      </x:c>
      <x:c r="E6" s="31" t="str">
        <x:v>Hilti</x:v>
      </x:c>
      <x:c r="F6" s="33" t="n">
        <x:v>1</x:v>
      </x:c>
      <x:c r="G6" s="31" t="str">
        <x:f>IF(F6&gt;0,"Em stock","Sem stock")</x:f>
        <x:v>Em stock</x:v>
      </x:c>
    </x:row>
    <x:row r="7">
      <x:c r="A7" s="31" t="str">
        <x:v>5011069</x:v>
      </x:c>
      <x:c r="B7" s="31" t="str">
        <x:v>5011069</x:v>
      </x:c>
      <x:c r="C7" s="31" t="str">
        <x:v>Carregador Bateria Hilti</x:v>
      </x:c>
      <x:c r="D7" s="31" t="str">
        <x:v>un</x:v>
      </x:c>
      <x:c r="E7" s="31" t="str">
        <x:v>SAP TMv 101</x:v>
      </x:c>
      <x:c r="F7" s="33" t="n">
        <x:v>2</x:v>
      </x:c>
      <x:c r="G7" s="31" t="str">
        <x:f>IF(F7&gt;0,"Em stock","Sem stock")</x:f>
        <x:v>Em stock</x:v>
      </x:c>
    </x:row>
    <x:row r="8">
      <x:c r="A8" s="31" t="str">
        <x:v>2146841</x:v>
      </x:c>
      <x:c r="B8" s="31" t="str"/>
      <x:c r="C8" s="31" t="str">
        <x:v>Martelo Demolidor TE 500-AVR 23 0000321896</x:v>
      </x:c>
      <x:c r="D8" s="31" t="str">
        <x:v>un</x:v>
      </x:c>
      <x:c r="E8" s="31" t="str">
        <x:v>Hilti</x:v>
      </x:c>
      <x:c r="F8" s="33" t="n">
        <x:v>1</x:v>
      </x:c>
      <x:c r="G8" s="31" t="str">
        <x:f>IF(F8&gt;0,"Em stock","Sem stock")</x:f>
        <x:v>Em stock</x:v>
      </x:c>
    </x:row>
    <x:row r="9">
      <x:c r="A9" s="31" t="str">
        <x:v>2241983</x:v>
      </x:c>
      <x:c r="B9" s="31" t="str"/>
      <x:c r="C9" s="31" t="str">
        <x:v>Ponteiro TE-YX SM 36</x:v>
      </x:c>
      <x:c r="D9" s="31" t="str">
        <x:v>un</x:v>
      </x:c>
      <x:c r="E9" s="31" t="str">
        <x:v>Hilti</x:v>
      </x:c>
      <x:c r="F9" s="33" t="n">
        <x:v>1</x:v>
      </x:c>
      <x:c r="G9" s="31" t="str">
        <x:f>IF(F9&gt;0,"Em stock","Sem stock")</x:f>
        <x:v>Em stock</x:v>
      </x:c>
    </x:row>
  </x:sheetData>
  <x:mergeCells>
    <x:mergeCell ref="A1:G1"/>
    <x:mergeCell ref="A2:G2"/>
  </x:mergeCells>
  <x:conditionalFormatting sqref="G5:G9">
    <x:cfRule type="containsText" dxfId="0" priority="1" operator="containsText" text="Em stock"/>
    <x:cfRule type="containsText" dxfId="1" priority="2" operator="containsText" text="Sem stock"/>
  </x:conditionalFormatting>
  <x:pageMargins left="0.7" right="0.7" top="0.75" bottom="0.75" header="0.3" footer="0.3"/>
  <x:tableParts count="1">
    <x:tablePart xmlns:r="http://schemas.openxmlformats.org/officeDocument/2006/relationships" r:id="R90f662002a4741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48" hidden="0" customWidth="1"/>
    <x:col min="4" max="4" width="10" hidden="0" customWidth="1"/>
    <x:col min="5" max="5" width="38" hidden="0" customWidth="1"/>
    <x:col min="6" max="6" width="12" hidden="0" customWidth="1"/>
    <x:col min="7" max="7" width="14" hidden="0" customWidth="1"/>
  </x:cols>
  <x:sheetData>
    <x:row r="1" ht="30" customHeight="1">
      <x:c r="A1" s="29" t="str">
        <x:v>Ferramentas Makita</x:v>
      </x:c>
      <x:c r="B1" s="29"/>
      <x:c r="C1" s="29"/>
      <x:c r="D1" s="29"/>
      <x:c r="E1" s="29"/>
      <x:c r="F1" s="29"/>
      <x:c r="G1" s="29"/>
    </x:row>
    <x:row r="2" ht="22" customHeight="1">
      <x:c r="A2" s="30" t="str">
        <x:v>Obra de Vendas Novas · stock calculado pelos movimentos registados · 27/07/2026</x:v>
      </x:c>
      <x:c r="B2" s="30"/>
      <x:c r="C2" s="30"/>
      <x:c r="D2" s="30"/>
      <x:c r="E2" s="30"/>
      <x:c r="F2" s="30"/>
      <x:c r="G2" s="30"/>
    </x:row>
    <x:row r="3">
      <x:c r="A3" s="31"/>
      <x:c r="B3" s="31"/>
      <x:c r="C3" s="31"/>
      <x:c r="D3" s="31"/>
      <x:c r="E3" s="31"/>
      <x:c r="F3" s="31"/>
      <x:c r="G3" s="31"/>
    </x:row>
    <x:row r="4" ht="28" customHeight="1">
      <x:c r="A4" s="32" t="str">
        <x:v>Código interno</x:v>
      </x:c>
      <x:c r="B4" s="32" t="str">
        <x:v>Código SAP</x:v>
      </x:c>
      <x:c r="C4" s="32" t="str">
        <x:v>Descrição</x:v>
      </x:c>
      <x:c r="D4" s="32" t="str">
        <x:v>Unidade</x:v>
      </x:c>
      <x:c r="E4" s="32" t="str">
        <x:v>Fornecedor</x:v>
      </x:c>
      <x:c r="F4" s="32" t="str">
        <x:v>Stock atual</x:v>
      </x:c>
      <x:c r="G4" s="32" t="str">
        <x:v>Estado</x:v>
      </x:c>
    </x:row>
    <x:row r="5">
      <x:c r="A5" s="31" t="str">
        <x:v>BerbequimMakita</x:v>
      </x:c>
      <x:c r="B5" s="31" t="str"/>
      <x:c r="C5" s="31" t="str">
        <x:v>Berbequim Aparafusador 18v 5.0Ah DDF484RTJ Makita</x:v>
      </x:c>
      <x:c r="D5" s="31" t="str">
        <x:v>un</x:v>
      </x:c>
      <x:c r="E5" s="31" t="str">
        <x:v>Ferramaq</x:v>
      </x:c>
      <x:c r="F5" s="33" t="n">
        <x:v>2</x:v>
      </x:c>
      <x:c r="G5" s="31" t="str">
        <x:f>IF(F5&gt;0,"Em stock","Sem stock")</x:f>
        <x:v>Em stock</x:v>
      </x:c>
    </x:row>
    <x:row r="6">
      <x:c r="A6" s="31" t="str">
        <x:v>JOG-001</x:v>
      </x:c>
      <x:c r="B6" s="31" t="str"/>
      <x:c r="C6" s="31" t="str">
        <x:v>JOGO DE 102 PEÇAS DE BOCAS E PONTAS MAKITA</x:v>
      </x:c>
      <x:c r="D6" s="31" t="str">
        <x:v>un</x:v>
      </x:c>
      <x:c r="E6" s="31" t="str">
        <x:v>Ferramaq</x:v>
      </x:c>
      <x:c r="F6" s="33" t="n">
        <x:v>1</x:v>
      </x:c>
      <x:c r="G6" s="31" t="str">
        <x:f>IF(F6&gt;0,"Em stock","Sem stock")</x:f>
        <x:v>Em stock</x:v>
      </x:c>
    </x:row>
    <x:row r="7">
      <x:c r="A7" s="31" t="str">
        <x:v>RebarbadoraMakita</x:v>
      </x:c>
      <x:c r="B7" s="31" t="str"/>
      <x:c r="C7" s="31" t="str">
        <x:v>Rebarbadora 125mm 18v 4.0 AH DGA504RMJ Makita</x:v>
      </x:c>
      <x:c r="D7" s="31" t="str">
        <x:v>un</x:v>
      </x:c>
      <x:c r="E7" s="31" t="str">
        <x:v>Ferramaq</x:v>
      </x:c>
      <x:c r="F7" s="33" t="n">
        <x:v>1</x:v>
      </x:c>
      <x:c r="G7" s="31" t="str">
        <x:f>IF(F7&gt;0,"Em stock","Sem stock")</x:f>
        <x:v>Em stock</x:v>
      </x:c>
    </x:row>
  </x:sheetData>
  <x:mergeCells>
    <x:mergeCell ref="A1:G1"/>
    <x:mergeCell ref="A2:G2"/>
  </x:mergeCells>
  <x:conditionalFormatting sqref="G5:G7">
    <x:cfRule type="containsText" dxfId="2" priority="1" operator="containsText" text="Em stock"/>
    <x:cfRule type="containsText" dxfId="3" priority="2" operator="containsText" text="Sem stock"/>
  </x:conditionalFormatting>
  <x:pageMargins left="0.7" right="0.7" top="0.75" bottom="0.75" header="0.3" footer="0.3"/>
  <x:tableParts count="1">
    <x:tablePart xmlns:r="http://schemas.openxmlformats.org/officeDocument/2006/relationships" r:id="R8f68a18b901343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48" hidden="0" customWidth="1"/>
    <x:col min="4" max="4" width="10" hidden="0" customWidth="1"/>
    <x:col min="5" max="5" width="38" hidden="0" customWidth="1"/>
    <x:col min="6" max="6" width="12" hidden="0" customWidth="1"/>
    <x:col min="7" max="7" width="14" hidden="0" customWidth="1"/>
  </x:cols>
  <x:sheetData>
    <x:row r="1" ht="30" customHeight="1">
      <x:c r="A1" s="29" t="str">
        <x:v>Ferramentas Outras Ferramentas</x:v>
      </x:c>
      <x:c r="B1" s="29"/>
      <x:c r="C1" s="29"/>
      <x:c r="D1" s="29"/>
      <x:c r="E1" s="29"/>
      <x:c r="F1" s="29"/>
      <x:c r="G1" s="29"/>
    </x:row>
    <x:row r="2" ht="22" customHeight="1">
      <x:c r="A2" s="30" t="str">
        <x:v>Obra de Vendas Novas · stock calculado pelos movimentos registados · 27/07/2026</x:v>
      </x:c>
      <x:c r="B2" s="30"/>
      <x:c r="C2" s="30"/>
      <x:c r="D2" s="30"/>
      <x:c r="E2" s="30"/>
      <x:c r="F2" s="30"/>
      <x:c r="G2" s="30"/>
    </x:row>
    <x:row r="3">
      <x:c r="A3" s="31"/>
      <x:c r="B3" s="31"/>
      <x:c r="C3" s="31"/>
      <x:c r="D3" s="31"/>
      <x:c r="E3" s="31"/>
      <x:c r="F3" s="31"/>
      <x:c r="G3" s="31"/>
    </x:row>
    <x:row r="4" ht="28" customHeight="1">
      <x:c r="A4" s="32" t="str">
        <x:v>Código interno</x:v>
      </x:c>
      <x:c r="B4" s="32" t="str">
        <x:v>Código SAP</x:v>
      </x:c>
      <x:c r="C4" s="32" t="str">
        <x:v>Descrição</x:v>
      </x:c>
      <x:c r="D4" s="32" t="str">
        <x:v>Unidade</x:v>
      </x:c>
      <x:c r="E4" s="32" t="str">
        <x:v>Fornecedor</x:v>
      </x:c>
      <x:c r="F4" s="32" t="str">
        <x:v>Stock atual</x:v>
      </x:c>
      <x:c r="G4" s="32" t="str">
        <x:v>Estado</x:v>
      </x:c>
    </x:row>
    <x:row r="5">
      <x:c r="A5" s="31" t="str">
        <x:v>944</x:v>
      </x:c>
      <x:c r="B5" s="31" t="str"/>
      <x:c r="C5" s="31" t="str">
        <x:v>944</x:v>
      </x:c>
      <x:c r="D5" s="31" t="str">
        <x:v>un</x:v>
      </x:c>
      <x:c r="E5" s="31" t="str">
        <x:v>Domingos da Silva Teixeira, S.A.</x:v>
      </x:c>
      <x:c r="F5" s="33" t="n">
        <x:v>1</x:v>
      </x:c>
      <x:c r="G5" s="31" t="str">
        <x:f>IF(F5&gt;0,"Em stock","Sem stock")</x:f>
        <x:v>Em stock</x:v>
      </x:c>
    </x:row>
    <x:row r="6">
      <x:c r="A6" s="31" t="str">
        <x:v>5016685</x:v>
      </x:c>
      <x:c r="B6" s="31" t="str">
        <x:v>5016685</x:v>
      </x:c>
      <x:c r="C6" s="31" t="str">
        <x:v>Adaptador P/ Serra Craneanas</x:v>
      </x:c>
      <x:c r="D6" s="31" t="str">
        <x:v>un</x:v>
      </x:c>
      <x:c r="E6" s="31" t="str">
        <x:v>SAP TMv 101</x:v>
      </x:c>
      <x:c r="F6" s="33" t="n">
        <x:v>1</x:v>
      </x:c>
      <x:c r="G6" s="31" t="str">
        <x:f>IF(F6&gt;0,"Em stock","Sem stock")</x:f>
        <x:v>Em stock</x:v>
      </x:c>
    </x:row>
    <x:row r="7">
      <x:c r="A7" s="31" t="str">
        <x:v>ALI-002</x:v>
      </x:c>
      <x:c r="B7" s="31" t="str"/>
      <x:c r="C7" s="31" t="str">
        <x:v>ALICATE A/C CORTE LATERAL 03 180MM</x:v>
      </x:c>
      <x:c r="D7" s="31" t="str">
        <x:v>un</x:v>
      </x:c>
      <x:c r="E7" s="31" t="str">
        <x:v>Ferramaq</x:v>
      </x:c>
      <x:c r="F7" s="33" t="n">
        <x:v>4</x:v>
      </x:c>
      <x:c r="G7" s="31" t="str">
        <x:f>IF(F7&gt;0,"Em stock","Sem stock")</x:f>
        <x:v>Em stock</x:v>
      </x:c>
    </x:row>
    <x:row r="8">
      <x:c r="A8" s="31" t="str">
        <x:v>ALI-001</x:v>
      </x:c>
      <x:c r="B8" s="31" t="str"/>
      <x:c r="C8" s="31" t="str">
        <x:v>ALICATE A/C UNIVERSAL 01 180MM</x:v>
      </x:c>
      <x:c r="D8" s="31" t="str">
        <x:v>un</x:v>
      </x:c>
      <x:c r="E8" s="31" t="str">
        <x:v>Ferramaq</x:v>
      </x:c>
      <x:c r="F8" s="33" t="n">
        <x:v>2</x:v>
      </x:c>
      <x:c r="G8" s="31" t="str">
        <x:f>IF(F8&gt;0,"Em stock","Sem stock")</x:f>
        <x:v>Em stock</x:v>
      </x:c>
    </x:row>
    <x:row r="9">
      <x:c r="A9" s="31" t="str">
        <x:v>281189</x:v>
      </x:c>
      <x:c r="B9" s="31" t="str"/>
      <x:c r="C9" s="31" t="str">
        <x:v>Alicate cravar terminais alumínio</x:v>
      </x:c>
      <x:c r="D9" s="31" t="str">
        <x:v>un</x:v>
      </x:c>
      <x:c r="E9" s="31" t="str">
        <x:v>Equifermaq - Com de Maq e Fer, Lda</x:v>
      </x:c>
      <x:c r="F9" s="33" t="n">
        <x:v>2</x:v>
      </x:c>
      <x:c r="G9" s="31" t="str">
        <x:f>IF(F9&gt;0,"Em stock","Sem stock")</x:f>
        <x:v>Em stock</x:v>
      </x:c>
    </x:row>
    <x:row r="10">
      <x:c r="A10" s="31" t="str">
        <x:v>ALI-003</x:v>
      </x:c>
      <x:c r="B10" s="31" t="str"/>
      <x:c r="C10" s="31" t="str">
        <x:v>ALICATE PRESSÃO BOCA CURVA CR-V 10" MAC</x:v>
      </x:c>
      <x:c r="D10" s="31" t="str">
        <x:v>un</x:v>
      </x:c>
      <x:c r="E10" s="31" t="str">
        <x:v>Ferramaq</x:v>
      </x:c>
      <x:c r="F10" s="33" t="n">
        <x:v>2</x:v>
      </x:c>
      <x:c r="G10" s="31" t="str">
        <x:f>IF(F10&gt;0,"Em stock","Sem stock")</x:f>
        <x:v>Em stock</x:v>
      </x:c>
    </x:row>
    <x:row r="11">
      <x:c r="A11" s="31" t="str">
        <x:v>2120</x:v>
      </x:c>
      <x:c r="B11" s="31" t="str"/>
      <x:c r="C11" s="31" t="str">
        <x:v>Berbequim Aparafusador 18v  4,0Ah Bosch</x:v>
      </x:c>
      <x:c r="D11" s="31" t="str">
        <x:v>un</x:v>
      </x:c>
      <x:c r="E11" s="31" t="str">
        <x:v>Domingos da Silva Teixeira, S.A.</x:v>
      </x:c>
      <x:c r="F11" s="33" t="n">
        <x:v>1</x:v>
      </x:c>
      <x:c r="G11" s="31" t="str">
        <x:f>IF(F11&gt;0,"Em stock","Sem stock")</x:f>
        <x:v>Em stock</x:v>
      </x:c>
    </x:row>
    <x:row r="12">
      <x:c r="A12" s="31" t="str">
        <x:v>BombaÁgua</x:v>
      </x:c>
      <x:c r="B12" s="31" t="str"/>
      <x:c r="C12" s="31" t="str">
        <x:v>Bomba Submersivel p/aguas Suja 1200w 19500L/H Inox ECC Pro 300 SPID'O</x:v>
      </x:c>
      <x:c r="D12" s="31" t="str">
        <x:v>un</x:v>
      </x:c>
      <x:c r="E12" s="31" t="str">
        <x:v>Ferramaq</x:v>
      </x:c>
      <x:c r="F12" s="33" t="n">
        <x:v>1</x:v>
      </x:c>
      <x:c r="G12" s="31" t="str">
        <x:f>IF(F12&gt;0,"Em stock","Sem stock")</x:f>
        <x:v>Em stock</x:v>
      </x:c>
    </x:row>
    <x:row r="13">
      <x:c r="A13" s="31" t="str">
        <x:v>5000511</x:v>
      </x:c>
      <x:c r="B13" s="31" t="str">
        <x:v>5000511</x:v>
      </x:c>
      <x:c r="C13" s="31" t="str">
        <x:v>Broca Hss-Multinox 07,25mm</x:v>
      </x:c>
      <x:c r="D13" s="31" t="str">
        <x:v>un</x:v>
      </x:c>
      <x:c r="E13" s="31" t="str">
        <x:v>Equifermaq - Com de Maq e Fer, Lda</x:v>
      </x:c>
      <x:c r="F13" s="33" t="n">
        <x:v>2</x:v>
      </x:c>
      <x:c r="G13" s="31" t="str">
        <x:f>IF(F13&gt;0,"Em stock","Sem stock")</x:f>
        <x:v>Em stock</x:v>
      </x:c>
    </x:row>
    <x:row r="14">
      <x:c r="A14" s="31" t="str">
        <x:v>5000535</x:v>
      </x:c>
      <x:c r="B14" s="31" t="str">
        <x:v>5000535</x:v>
      </x:c>
      <x:c r="C14" s="31" t="str">
        <x:v>Broca Hss-Multinox 13mm</x:v>
      </x:c>
      <x:c r="D14" s="31" t="str">
        <x:v>un</x:v>
      </x:c>
      <x:c r="E14" s="31" t="str">
        <x:v>Equifermaq - Com de Maq e Fer, Lda</x:v>
      </x:c>
      <x:c r="F14" s="33" t="n">
        <x:v>12</x:v>
      </x:c>
      <x:c r="G14" s="31" t="str">
        <x:f>IF(F14&gt;0,"Em stock","Sem stock")</x:f>
        <x:v>Em stock</x:v>
      </x:c>
    </x:row>
    <x:row r="15">
      <x:c r="A15" s="31" t="str">
        <x:v>Broca 7,25</x:v>
      </x:c>
      <x:c r="B15" s="31" t="str"/>
      <x:c r="C15" s="31" t="str">
        <x:v>Broca Hssm 2-07,25mm-MCF</x:v>
      </x:c>
      <x:c r="D15" s="31" t="str">
        <x:v>un</x:v>
      </x:c>
      <x:c r="E15" s="31" t="str"/>
      <x:c r="F15" s="33" t="n">
        <x:v>0</x:v>
      </x:c>
      <x:c r="G15" s="31" t="str">
        <x:f>IF(F15&gt;0,"Em stock","Sem stock")</x:f>
        <x:v>Sem stock</x:v>
      </x:c>
    </x:row>
    <x:row r="16">
      <x:c r="A16" s="31" t="str">
        <x:v>5012365</x:v>
      </x:c>
      <x:c r="B16" s="31" t="str">
        <x:v>5012365</x:v>
      </x:c>
      <x:c r="C16" s="31" t="str">
        <x:v>BROCA HSSM 2-7,25MM</x:v>
      </x:c>
      <x:c r="D16" s="31" t="str">
        <x:v>un</x:v>
      </x:c>
      <x:c r="E16" s="31" t="str">
        <x:v>Equifermaq - Com de Maq e Fer, Lda</x:v>
      </x:c>
      <x:c r="F16" s="33" t="n">
        <x:v>5</x:v>
      </x:c>
      <x:c r="G16" s="31" t="str">
        <x:f>IF(F16&gt;0,"Em stock","Sem stock")</x:f>
        <x:v>Em stock</x:v>
      </x:c>
    </x:row>
    <x:row r="17">
      <x:c r="A17" s="31" t="str">
        <x:v>5000512</x:v>
      </x:c>
      <x:c r="B17" s="31" t="str">
        <x:v>5000512</x:v>
      </x:c>
      <x:c r="C17" s="31" t="str">
        <x:v>Broca Hssm2-06,00mm-Mcf</x:v>
      </x:c>
      <x:c r="D17" s="31" t="str">
        <x:v>un</x:v>
      </x:c>
      <x:c r="E17" s="31" t="str">
        <x:v>Equifermaq - Com de Maq e Fer, Lda</x:v>
      </x:c>
      <x:c r="F17" s="33" t="n">
        <x:v>10</x:v>
      </x:c>
      <x:c r="G17" s="31" t="str">
        <x:f>IF(F17&gt;0,"Em stock","Sem stock")</x:f>
        <x:v>Em stock</x:v>
      </x:c>
    </x:row>
    <x:row r="18">
      <x:c r="A18" s="31" t="str">
        <x:v>Broca 06</x:v>
      </x:c>
      <x:c r="B18" s="31" t="str"/>
      <x:c r="C18" s="31" t="str">
        <x:v>Broca HSSM2-06,0mm-Mcf</x:v>
      </x:c>
      <x:c r="D18" s="31" t="str">
        <x:v>un</x:v>
      </x:c>
      <x:c r="E18" s="31" t="str"/>
      <x:c r="F18" s="33" t="n">
        <x:v>9</x:v>
      </x:c>
      <x:c r="G18" s="31" t="str">
        <x:f>IF(F18&gt;0,"Em stock","Sem stock")</x:f>
        <x:v>Em stock</x:v>
      </x:c>
    </x:row>
    <x:row r="19">
      <x:c r="A19" s="31" t="str">
        <x:v>5016427</x:v>
      </x:c>
      <x:c r="B19" s="31" t="str">
        <x:v>5016427</x:v>
      </x:c>
      <x:c r="C19" s="31" t="str">
        <x:v>Broca Hssm2-07,00mm-Mcf</x:v>
      </x:c>
      <x:c r="D19" s="31" t="str">
        <x:v>un</x:v>
      </x:c>
      <x:c r="E19" s="31" t="str">
        <x:v>Equifermaq - Com de Maq e Fer, Lda</x:v>
      </x:c>
      <x:c r="F19" s="33" t="n">
        <x:v>10</x:v>
      </x:c>
      <x:c r="G19" s="31" t="str">
        <x:f>IF(F19&gt;0,"Em stock","Sem stock")</x:f>
        <x:v>Em stock</x:v>
      </x:c>
    </x:row>
    <x:row r="20">
      <x:c r="A20" s="31" t="str">
        <x:v>Broca 07</x:v>
      </x:c>
      <x:c r="B20" s="31" t="str"/>
      <x:c r="C20" s="31" t="str">
        <x:v>Broca HSSM2-07,0mm mcf</x:v>
      </x:c>
      <x:c r="D20" s="31" t="str">
        <x:v>un</x:v>
      </x:c>
      <x:c r="E20" s="31" t="str"/>
      <x:c r="F20" s="33" t="n">
        <x:v>10</x:v>
      </x:c>
      <x:c r="G20" s="31" t="str">
        <x:f>IF(F20&gt;0,"Em stock","Sem stock")</x:f>
        <x:v>Em stock</x:v>
      </x:c>
    </x:row>
    <x:row r="21">
      <x:c r="A21" s="31" t="str">
        <x:v>Broca 10,50</x:v>
      </x:c>
      <x:c r="B21" s="31" t="str"/>
      <x:c r="C21" s="31" t="str">
        <x:v>Broca HSSM2-10,50mm Mcf</x:v>
      </x:c>
      <x:c r="D21" s="31" t="str">
        <x:v>un</x:v>
      </x:c>
      <x:c r="E21" s="31" t="str">
        <x:v>Equifermaq - Com de Maq e Fer, Lda</x:v>
      </x:c>
      <x:c r="F21" s="33" t="n">
        <x:v>19</x:v>
      </x:c>
      <x:c r="G21" s="31" t="str">
        <x:f>IF(F21&gt;0,"Em stock","Sem stock")</x:f>
        <x:v>Em stock</x:v>
      </x:c>
    </x:row>
    <x:row r="22">
      <x:c r="A22" s="31" t="str">
        <x:v>Broca 12,50</x:v>
      </x:c>
      <x:c r="B22" s="31" t="str"/>
      <x:c r="C22" s="31" t="str">
        <x:v>Broca Hssm2-12,50mm-Mcf</x:v>
      </x:c>
      <x:c r="D22" s="31" t="str">
        <x:v>un</x:v>
      </x:c>
      <x:c r="E22" s="31" t="str"/>
      <x:c r="F22" s="33" t="n">
        <x:v>9</x:v>
      </x:c>
      <x:c r="G22" s="31" t="str">
        <x:f>IF(F22&gt;0,"Em stock","Sem stock")</x:f>
        <x:v>Em stock</x:v>
      </x:c>
    </x:row>
    <x:row r="23">
      <x:c r="A23" s="31" t="str">
        <x:v>5004487</x:v>
      </x:c>
      <x:c r="B23" s="31" t="str">
        <x:v>5004487</x:v>
      </x:c>
      <x:c r="C23" s="31" t="str">
        <x:v>Broca Sds 6X110</x:v>
      </x:c>
      <x:c r="D23" s="31" t="str">
        <x:v>un</x:v>
      </x:c>
      <x:c r="E23" s="31" t="str">
        <x:v>SAP TMv 101</x:v>
      </x:c>
      <x:c r="F23" s="33" t="n">
        <x:v>44</x:v>
      </x:c>
      <x:c r="G23" s="31" t="str">
        <x:f>IF(F23&gt;0,"Em stock","Sem stock")</x:f>
        <x:v>Em stock</x:v>
      </x:c>
    </x:row>
    <x:row r="24">
      <x:c r="A24" s="31" t="str">
        <x:v>11518449</x:v>
      </x:c>
      <x:c r="B24" s="31" t="str"/>
      <x:c r="C24" s="31" t="str">
        <x:v>Broca SDS Plus Joran 6x110mm</x:v>
      </x:c>
      <x:c r="D24" s="31" t="str">
        <x:v>un</x:v>
      </x:c>
      <x:c r="E24" s="31" t="str">
        <x:v>Joao S. Azevedo, Lda</x:v>
      </x:c>
      <x:c r="F24" s="33" t="n">
        <x:v>0</x:v>
      </x:c>
      <x:c r="G24" s="31" t="str">
        <x:f>IF(F24&gt;0,"Em stock","Sem stock")</x:f>
        <x:v>Sem stock</x:v>
      </x:c>
    </x:row>
    <x:row r="25">
      <x:c r="A25" s="31" t="str">
        <x:v>200145</x:v>
      </x:c>
      <x:c r="B25" s="31" t="str"/>
      <x:c r="C25" s="31" t="str">
        <x:v>Ch cx Estrias-longa 1/2-30-F5497730</x:v>
      </x:c>
      <x:c r="D25" s="31" t="str">
        <x:v>un</x:v>
      </x:c>
      <x:c r="E25" s="31" t="str">
        <x:v>Equifermaq - Com de Maq e Fer, Lda</x:v>
      </x:c>
      <x:c r="F25" s="33" t="n">
        <x:v>1</x:v>
      </x:c>
      <x:c r="G25" s="31" t="str">
        <x:f>IF(F25&gt;0,"Em stock","Sem stock")</x:f>
        <x:v>Em stock</x:v>
      </x:c>
    </x:row>
    <x:row r="26">
      <x:c r="A26" s="31" t="str">
        <x:v>CBL-001</x:v>
      </x:c>
      <x:c r="B26" s="31" t="str"/>
      <x:c r="C26" s="31" t="str">
        <x:v>CHAVE BOCA E LUNETA EXPERT 17MM</x:v>
      </x:c>
      <x:c r="D26" s="31" t="str">
        <x:v>un</x:v>
      </x:c>
      <x:c r="E26" s="31" t="str">
        <x:v>Ferramaq</x:v>
      </x:c>
      <x:c r="F26" s="33" t="n">
        <x:v>2</x:v>
      </x:c>
      <x:c r="G26" s="31" t="str">
        <x:f>IF(F26&gt;0,"Em stock","Sem stock")</x:f>
        <x:v>Em stock</x:v>
      </x:c>
    </x:row>
    <x:row r="27">
      <x:c r="A27" s="31" t="str">
        <x:v>CBL-002</x:v>
      </x:c>
      <x:c r="B27" s="31" t="str"/>
      <x:c r="C27" s="31" t="str">
        <x:v>CHAVE BOCA E LUNETA EXPERT 19MM</x:v>
      </x:c>
      <x:c r="D27" s="31" t="str">
        <x:v>un</x:v>
      </x:c>
      <x:c r="E27" s="31" t="str">
        <x:v>Ferramaq</x:v>
      </x:c>
      <x:c r="F27" s="33" t="n">
        <x:v>2</x:v>
      </x:c>
      <x:c r="G27" s="31" t="str">
        <x:f>IF(F27&gt;0,"Em stock","Sem stock")</x:f>
        <x:v>Em stock</x:v>
      </x:c>
    </x:row>
    <x:row r="28">
      <x:c r="A28" s="31" t="str">
        <x:v>CCR-001</x:v>
      </x:c>
      <x:c r="B28" s="31" t="str"/>
      <x:c r="C28" s="31" t="str">
        <x:v>CHAVE CRESCENTE AÇO CARBON CR-V 15" 375MM</x:v>
      </x:c>
      <x:c r="D28" s="31" t="str">
        <x:v>un</x:v>
      </x:c>
      <x:c r="E28" s="31" t="str">
        <x:v>Ferramaq</x:v>
      </x:c>
      <x:c r="F28" s="33" t="n">
        <x:v>2</x:v>
      </x:c>
      <x:c r="G28" s="31" t="str">
        <x:f>IF(F28&gt;0,"Em stock","Sem stock")</x:f>
        <x:v>Em stock</x:v>
      </x:c>
    </x:row>
    <x:row r="29">
      <x:c r="A29" s="31" t="str">
        <x:v>CBE-001</x:v>
      </x:c>
      <x:c r="B29" s="31" t="str"/>
      <x:c r="C29" s="31" t="str">
        <x:v>CHAVE DE BOCAS EXPERT 10X11MM</x:v>
      </x:c>
      <x:c r="D29" s="31" t="str">
        <x:v>un</x:v>
      </x:c>
      <x:c r="E29" s="31" t="str">
        <x:v>Ferramaq</x:v>
      </x:c>
      <x:c r="F29" s="33" t="n">
        <x:v>1</x:v>
      </x:c>
      <x:c r="G29" s="31" t="str">
        <x:f>IF(F29&gt;0,"Em stock","Sem stock")</x:f>
        <x:v>Em stock</x:v>
      </x:c>
    </x:row>
    <x:row r="30">
      <x:c r="A30" s="31" t="str">
        <x:v>CB12x13</x:v>
      </x:c>
      <x:c r="B30" s="31" t="str"/>
      <x:c r="C30" s="31" t="str">
        <x:v>Chave de Bocas Expert 12x13mm</x:v>
      </x:c>
      <x:c r="D30" s="31" t="str">
        <x:v>un</x:v>
      </x:c>
      <x:c r="E30" s="31" t="str">
        <x:v>Ferramaq</x:v>
      </x:c>
      <x:c r="F30" s="33" t="n">
        <x:v>2</x:v>
      </x:c>
      <x:c r="G30" s="31" t="str">
        <x:f>IF(F30&gt;0,"Em stock","Sem stock")</x:f>
        <x:v>Em stock</x:v>
      </x:c>
    </x:row>
    <x:row r="31">
      <x:c r="A31" s="31" t="str">
        <x:v>CB14x15</x:v>
      </x:c>
      <x:c r="B31" s="31" t="str"/>
      <x:c r="C31" s="31" t="str">
        <x:v>Chave de Bocas Expert 14x15mm</x:v>
      </x:c>
      <x:c r="D31" s="31" t="str">
        <x:v>un</x:v>
      </x:c>
      <x:c r="E31" s="31" t="str">
        <x:v>Ferramaq</x:v>
      </x:c>
      <x:c r="F31" s="33" t="n">
        <x:v>2</x:v>
      </x:c>
      <x:c r="G31" s="31" t="str">
        <x:f>IF(F31&gt;0,"Em stock","Sem stock")</x:f>
        <x:v>Em stock</x:v>
      </x:c>
    </x:row>
    <x:row r="32">
      <x:c r="A32" s="31" t="str">
        <x:v>CBE-002</x:v>
      </x:c>
      <x:c r="B32" s="31" t="str"/>
      <x:c r="C32" s="31" t="str">
        <x:v>CHAVE DE BOCAS EXPERT 16X17MM</x:v>
      </x:c>
      <x:c r="D32" s="31" t="str">
        <x:v>un</x:v>
      </x:c>
      <x:c r="E32" s="31" t="str">
        <x:v>Ferramaq</x:v>
      </x:c>
      <x:c r="F32" s="33" t="n">
        <x:v>3</x:v>
      </x:c>
      <x:c r="G32" s="31" t="str">
        <x:f>IF(F32&gt;0,"Em stock","Sem stock")</x:f>
        <x:v>Em stock</x:v>
      </x:c>
    </x:row>
    <x:row r="33">
      <x:c r="A33" s="31" t="str">
        <x:v>CBE-003</x:v>
      </x:c>
      <x:c r="B33" s="31" t="str"/>
      <x:c r="C33" s="31" t="str">
        <x:v>CHAVE DE BOCAS EXPERT 18X19MM</x:v>
      </x:c>
      <x:c r="D33" s="31" t="str">
        <x:v>un</x:v>
      </x:c>
      <x:c r="E33" s="31" t="str">
        <x:v>Ferramaq</x:v>
      </x:c>
      <x:c r="F33" s="33" t="n">
        <x:v>2</x:v>
      </x:c>
      <x:c r="G33" s="31" t="str">
        <x:f>IF(F33&gt;0,"Em stock","Sem stock")</x:f>
        <x:v>Em stock</x:v>
      </x:c>
    </x:row>
    <x:row r="34">
      <x:c r="A34" s="31" t="str">
        <x:v>CB20x22</x:v>
      </x:c>
      <x:c r="B34" s="31" t="str"/>
      <x:c r="C34" s="31" t="str">
        <x:v>Chave de Bocas Expert 20x22mm</x:v>
      </x:c>
      <x:c r="D34" s="31" t="str">
        <x:v>un</x:v>
      </x:c>
      <x:c r="E34" s="31" t="str">
        <x:v>Ferramaq</x:v>
      </x:c>
      <x:c r="F34" s="33" t="n">
        <x:v>2</x:v>
      </x:c>
      <x:c r="G34" s="31" t="str">
        <x:f>IF(F34&gt;0,"Em stock","Sem stock")</x:f>
        <x:v>Em stock</x:v>
      </x:c>
    </x:row>
    <x:row r="35">
      <x:c r="A35" s="31" t="str">
        <x:v>CBE-005</x:v>
      </x:c>
      <x:c r="B35" s="31" t="str"/>
      <x:c r="C35" s="31" t="str">
        <x:v>CHAVE DE BOCAS EXPERT 24X26MM</x:v>
      </x:c>
      <x:c r="D35" s="31" t="str">
        <x:v>un</x:v>
      </x:c>
      <x:c r="E35" s="31" t="str">
        <x:v>Ferramaq</x:v>
      </x:c>
      <x:c r="F35" s="33" t="n">
        <x:v>3</x:v>
      </x:c>
      <x:c r="G35" s="31" t="str">
        <x:f>IF(F35&gt;0,"Em stock","Sem stock")</x:f>
        <x:v>Em stock</x:v>
      </x:c>
    </x:row>
    <x:row r="36">
      <x:c r="A36" s="31" t="str">
        <x:v>CB25x28</x:v>
      </x:c>
      <x:c r="B36" s="31" t="str"/>
      <x:c r="C36" s="31" t="str">
        <x:v>Chave de Bocas Expert 25x28mm</x:v>
      </x:c>
      <x:c r="D36" s="31" t="str">
        <x:v>un</x:v>
      </x:c>
      <x:c r="E36" s="31" t="str">
        <x:v>Ferramaq</x:v>
      </x:c>
      <x:c r="F36" s="33" t="n">
        <x:v>1</x:v>
      </x:c>
      <x:c r="G36" s="31" t="str">
        <x:f>IF(F36&gt;0,"Em stock","Sem stock")</x:f>
        <x:v>Em stock</x:v>
      </x:c>
    </x:row>
    <x:row r="37">
      <x:c r="A37" s="31" t="str">
        <x:v>CBE-007</x:v>
      </x:c>
      <x:c r="B37" s="31" t="str"/>
      <x:c r="C37" s="31" t="str">
        <x:v>CHAVE DE BOCAS EXPERT 27X29MM</x:v>
      </x:c>
      <x:c r="D37" s="31" t="str">
        <x:v>un</x:v>
      </x:c>
      <x:c r="E37" s="31" t="str">
        <x:v>Ferramaq</x:v>
      </x:c>
      <x:c r="F37" s="33" t="n">
        <x:v>3</x:v>
      </x:c>
      <x:c r="G37" s="31" t="str">
        <x:f>IF(F37&gt;0,"Em stock","Sem stock")</x:f>
        <x:v>Em stock</x:v>
      </x:c>
    </x:row>
    <x:row r="38">
      <x:c r="A38" s="31" t="str">
        <x:v>CB30x32</x:v>
      </x:c>
      <x:c r="B38" s="31" t="str"/>
      <x:c r="C38" s="31" t="str">
        <x:v>Chave de Bocas Expert 30x32mm</x:v>
      </x:c>
      <x:c r="D38" s="31" t="str">
        <x:v>un</x:v>
      </x:c>
      <x:c r="E38" s="31" t="str">
        <x:v>Ferramaq</x:v>
      </x:c>
      <x:c r="F38" s="33" t="n">
        <x:v>3</x:v>
      </x:c>
      <x:c r="G38" s="31" t="str">
        <x:f>IF(F38&gt;0,"Em stock","Sem stock")</x:f>
        <x:v>Em stock</x:v>
      </x:c>
    </x:row>
    <x:row r="39">
      <x:c r="A39" s="31" t="str">
        <x:v>203003</x:v>
      </x:c>
      <x:c r="B39" s="31" t="str"/>
      <x:c r="C39" s="31" t="str">
        <x:v>Chave luneta 10x11</x:v>
      </x:c>
      <x:c r="D39" s="31" t="str">
        <x:v>un</x:v>
      </x:c>
      <x:c r="E39" s="31" t="str">
        <x:v>Equifermaq - Com de Maq e Fer, Lda</x:v>
      </x:c>
      <x:c r="F39" s="33" t="n">
        <x:v>2</x:v>
      </x:c>
      <x:c r="G39" s="31" t="str">
        <x:f>IF(F39&gt;0,"Em stock","Sem stock")</x:f>
        <x:v>Em stock</x:v>
      </x:c>
    </x:row>
    <x:row r="40">
      <x:c r="A40" s="31" t="str">
        <x:v>48061</x:v>
      </x:c>
      <x:c r="B40" s="31" t="str"/>
      <x:c r="C40" s="31" t="str">
        <x:v>Chave luneta 12x13</x:v>
      </x:c>
      <x:c r="D40" s="31" t="str">
        <x:v>un</x:v>
      </x:c>
      <x:c r="E40" s="31" t="str">
        <x:v>Equifermaq - Com de Maq e Fer, Lda</x:v>
      </x:c>
      <x:c r="F40" s="33" t="n">
        <x:v>2</x:v>
      </x:c>
      <x:c r="G40" s="31" t="str">
        <x:f>IF(F40&gt;0,"Em stock","Sem stock")</x:f>
        <x:v>Em stock</x:v>
      </x:c>
    </x:row>
    <x:row r="41">
      <x:c r="A41" s="31" t="str">
        <x:v>203005</x:v>
      </x:c>
      <x:c r="B41" s="31" t="str"/>
      <x:c r="C41" s="31" t="str">
        <x:v>Chave luneta 14x15</x:v>
      </x:c>
      <x:c r="D41" s="31" t="str">
        <x:v>un</x:v>
      </x:c>
      <x:c r="E41" s="31" t="str">
        <x:v>Equifermaq - Com de Maq e Fer, Lda</x:v>
      </x:c>
      <x:c r="F41" s="33" t="n">
        <x:v>4</x:v>
      </x:c>
      <x:c r="G41" s="31" t="str">
        <x:f>IF(F41&gt;0,"Em stock","Sem stock")</x:f>
        <x:v>Em stock</x:v>
      </x:c>
    </x:row>
    <x:row r="42">
      <x:c r="A42" s="31" t="str">
        <x:v>151024</x:v>
      </x:c>
      <x:c r="B42" s="31" t="str"/>
      <x:c r="C42" s="31" t="str">
        <x:v>Chave luneta 16x17</x:v>
      </x:c>
      <x:c r="D42" s="31" t="str">
        <x:v>un</x:v>
      </x:c>
      <x:c r="E42" s="31" t="str">
        <x:v>Equifermaq - Com de Maq e Fer, Lda</x:v>
      </x:c>
      <x:c r="F42" s="33" t="n">
        <x:v>4</x:v>
      </x:c>
      <x:c r="G42" s="31" t="str">
        <x:f>IF(F42&gt;0,"Em stock","Sem stock")</x:f>
        <x:v>Em stock</x:v>
      </x:c>
    </x:row>
    <x:row r="43">
      <x:c r="A43" s="31" t="str">
        <x:v>203007</x:v>
      </x:c>
      <x:c r="B43" s="31" t="str"/>
      <x:c r="C43" s="31" t="str">
        <x:v>Chave luneta 18x19</x:v>
      </x:c>
      <x:c r="D43" s="31" t="str">
        <x:v>un</x:v>
      </x:c>
      <x:c r="E43" s="31" t="str">
        <x:v>Equifermaq - Com de Maq e Fer, Lda</x:v>
      </x:c>
      <x:c r="F43" s="33" t="n">
        <x:v>2</x:v>
      </x:c>
      <x:c r="G43" s="31" t="str">
        <x:f>IF(F43&gt;0,"Em stock","Sem stock")</x:f>
        <x:v>Em stock</x:v>
      </x:c>
    </x:row>
    <x:row r="44">
      <x:c r="A44" s="31" t="str">
        <x:v>203008</x:v>
      </x:c>
      <x:c r="B44" s="31" t="str"/>
      <x:c r="C44" s="31" t="str">
        <x:v>Chave luneta 20x22</x:v>
      </x:c>
      <x:c r="D44" s="31" t="str">
        <x:v>un</x:v>
      </x:c>
      <x:c r="E44" s="31" t="str">
        <x:v>Equifermaq - Com de Maq e Fer, Lda</x:v>
      </x:c>
      <x:c r="F44" s="33" t="n">
        <x:v>3</x:v>
      </x:c>
      <x:c r="G44" s="31" t="str">
        <x:f>IF(F44&gt;0,"Em stock","Sem stock")</x:f>
        <x:v>Em stock</x:v>
      </x:c>
    </x:row>
    <x:row r="45">
      <x:c r="A45" s="31" t="str">
        <x:v>109047</x:v>
      </x:c>
      <x:c r="B45" s="31" t="str"/>
      <x:c r="C45" s="31" t="str">
        <x:v>Chave luneta 24x26</x:v>
      </x:c>
      <x:c r="D45" s="31" t="str">
        <x:v>un</x:v>
      </x:c>
      <x:c r="E45" s="31" t="str">
        <x:v>Equifermaq - Com de Maq e Fer, Lda</x:v>
      </x:c>
      <x:c r="F45" s="33" t="n">
        <x:v>3</x:v>
      </x:c>
      <x:c r="G45" s="31" t="str">
        <x:f>IF(F45&gt;0,"Em stock","Sem stock")</x:f>
        <x:v>Em stock</x:v>
      </x:c>
    </x:row>
    <x:row r="46">
      <x:c r="A46" s="31" t="str">
        <x:v>4013681</x:v>
      </x:c>
      <x:c r="B46" s="31" t="str">
        <x:v>4013681</x:v>
      </x:c>
      <x:c r="C46" s="31" t="str">
        <x:v>CHAVE PONTOS IE26</x:v>
      </x:c>
      <x:c r="D46" s="31" t="str">
        <x:v>un</x:v>
      </x:c>
      <x:c r="E46" s="31" t="str">
        <x:v>Joao S. Azevedo, Lda</x:v>
      </x:c>
      <x:c r="F46" s="33" t="n">
        <x:v>0</x:v>
      </x:c>
      <x:c r="G46" s="31" t="str">
        <x:f>IF(F46&gt;0,"Em stock","Sem stock")</x:f>
        <x:v>Sem stock</x:v>
      </x:c>
    </x:row>
    <x:row r="47">
      <x:c r="A47" s="31" t="str">
        <x:v>CT19</x:v>
      </x:c>
      <x:c r="B47" s="31" t="str"/>
      <x:c r="C47" s="31" t="str">
        <x:v>Chave Tubular Curva 12 PT/6T 19mm</x:v>
      </x:c>
      <x:c r="D47" s="31" t="str">
        <x:v>un</x:v>
      </x:c>
      <x:c r="E47" s="31" t="str">
        <x:v>Ferramaq</x:v>
      </x:c>
      <x:c r="F47" s="33" t="n">
        <x:v>1</x:v>
      </x:c>
      <x:c r="G47" s="31" t="str">
        <x:f>IF(F47&gt;0,"Em stock","Sem stock")</x:f>
        <x:v>Em stock</x:v>
      </x:c>
    </x:row>
    <x:row r="48">
      <x:c r="A48" s="31" t="str">
        <x:v>4019688</x:v>
      </x:c>
      <x:c r="B48" s="31" t="str">
        <x:v>4019688</x:v>
      </x:c>
      <x:c r="C48" s="31" t="str">
        <x:v>Chave Universal</x:v>
      </x:c>
      <x:c r="D48" s="31" t="str">
        <x:v>un</x:v>
      </x:c>
      <x:c r="E48" s="31" t="str">
        <x:v>Joao S. Azevedo, Lda</x:v>
      </x:c>
      <x:c r="F48" s="33" t="n">
        <x:v>18</x:v>
      </x:c>
      <x:c r="G48" s="31" t="str">
        <x:f>IF(F48&gt;0,"Em stock","Sem stock")</x:f>
        <x:v>Em stock</x:v>
      </x:c>
    </x:row>
    <x:row r="49">
      <x:c r="A49" s="31" t="str">
        <x:v>5003982</x:v>
      </x:c>
      <x:c r="B49" s="31" t="str">
        <x:v>5003982</x:v>
      </x:c>
      <x:c r="C49" s="31" t="str">
        <x:v>CINTA CARGA C/ROQ. MACFER GANCHO ""J</x:v>
      </x:c>
      <x:c r="D49" s="31" t="str">
        <x:v>un</x:v>
      </x:c>
      <x:c r="E49" s="31" t="str">
        <x:v>Joao S. Azevedo, Lda</x:v>
      </x:c>
      <x:c r="F49" s="33" t="n">
        <x:v>0</x:v>
      </x:c>
      <x:c r="G49" s="31" t="str">
        <x:f>IF(F49&gt;0,"Em stock","Sem stock")</x:f>
        <x:v>Sem stock</x:v>
      </x:c>
    </x:row>
    <x:row r="50">
      <x:c r="A50" s="31" t="str">
        <x:v>480073</x:v>
      </x:c>
      <x:c r="B50" s="31" t="str"/>
      <x:c r="C50" s="31" t="str">
        <x:v>Cone Morse Encabadouro nº4 B-16</x:v>
      </x:c>
      <x:c r="D50" s="31" t="str">
        <x:v>un</x:v>
      </x:c>
      <x:c r="E50" s="31" t="str">
        <x:v>Equifermaq - Com de Maq e Fer, Lda</x:v>
      </x:c>
      <x:c r="F50" s="33" t="n">
        <x:v>1</x:v>
      </x:c>
      <x:c r="G50" s="31" t="str">
        <x:f>IF(F50&gt;0,"Em stock","Sem stock")</x:f>
        <x:v>Em stock</x:v>
      </x:c>
    </x:row>
    <x:row r="51">
      <x:c r="A51" s="31" t="str">
        <x:v>5005589</x:v>
      </x:c>
      <x:c r="B51" s="31" t="str">
        <x:v>5005589</x:v>
      </x:c>
      <x:c r="C51" s="31" t="str">
        <x:v>CONE MORSE ENCABADOURO Nº4-B16</x:v>
      </x:c>
      <x:c r="D51" s="31" t="str">
        <x:v>un</x:v>
      </x:c>
      <x:c r="E51" s="31" t="str">
        <x:v>Equifermaq - Com de Maq e Fer, Lda</x:v>
      </x:c>
      <x:c r="F51" s="33" t="n">
        <x:v>1</x:v>
      </x:c>
      <x:c r="G51" s="31" t="str">
        <x:f>IF(F51&gt;0,"Em stock","Sem stock")</x:f>
        <x:v>Em stock</x:v>
      </x:c>
    </x:row>
    <x:row r="52">
      <x:c r="A52" s="31" t="str">
        <x:v>CR18</x:v>
      </x:c>
      <x:c r="B52" s="31" t="str"/>
      <x:c r="C52" s="31" t="str">
        <x:v>Corte Rebites Cr-Mo 18''</x:v>
      </x:c>
      <x:c r="D52" s="31" t="str">
        <x:v>un</x:v>
      </x:c>
      <x:c r="E52" s="31" t="str">
        <x:v>Ferramaq</x:v>
      </x:c>
      <x:c r="F52" s="33" t="n">
        <x:v>1</x:v>
      </x:c>
      <x:c r="G52" s="31" t="str">
        <x:f>IF(F52&gt;0,"Em stock","Sem stock")</x:f>
        <x:v>Em stock</x:v>
      </x:c>
    </x:row>
    <x:row r="53">
      <x:c r="A53" s="31" t="str">
        <x:v>CR42</x:v>
      </x:c>
      <x:c r="B53" s="31" t="str"/>
      <x:c r="C53" s="31" t="str">
        <x:v>Corte Rebites Cr-Mo 42''</x:v>
      </x:c>
      <x:c r="D53" s="31" t="str">
        <x:v>un</x:v>
      </x:c>
      <x:c r="E53" s="31" t="str">
        <x:v>Ferramaq</x:v>
      </x:c>
      <x:c r="F53" s="33" t="n">
        <x:v>1</x:v>
      </x:c>
      <x:c r="G53" s="31" t="str">
        <x:f>IF(F53&gt;0,"Em stock","Sem stock")</x:f>
        <x:v>Em stock</x:v>
      </x:c>
    </x:row>
    <x:row r="54">
      <x:c r="A54" s="31" t="str">
        <x:v>DESBOB-01</x:v>
      </x:c>
      <x:c r="B54" s="31" t="str"/>
      <x:c r="C54" s="31" t="str">
        <x:v>Desbobinador</x:v>
      </x:c>
      <x:c r="D54" s="31" t="str">
        <x:v>un</x:v>
      </x:c>
      <x:c r="E54" s="31" t="str"/>
      <x:c r="F54" s="33" t="n">
        <x:v>0</x:v>
      </x:c>
      <x:c r="G54" s="31" t="str">
        <x:f>IF(F54&gt;0,"Em stock","Sem stock")</x:f>
        <x:v>Sem stock</x:v>
      </x:c>
    </x:row>
    <x:row r="55">
      <x:c r="A55" s="31" t="str">
        <x:v>5004611</x:v>
      </x:c>
      <x:c r="B55" s="31" t="str">
        <x:v>5004611</x:v>
      </x:c>
      <x:c r="C55" s="31" t="str">
        <x:v>Descarnador cabo 101307</x:v>
      </x:c>
      <x:c r="D55" s="31" t="str">
        <x:v>un</x:v>
      </x:c>
      <x:c r="E55" s="31" t="str">
        <x:v>Equifermaq - Com de Maq e Fer, Lda</x:v>
      </x:c>
      <x:c r="F55" s="33" t="n">
        <x:v>6</x:v>
      </x:c>
      <x:c r="G55" s="31" t="str">
        <x:f>IF(F55&gt;0,"Em stock","Sem stock")</x:f>
        <x:v>Em stock</x:v>
      </x:c>
    </x:row>
    <x:row r="56">
      <x:c r="A56" s="31" t="str">
        <x:v>10137</x:v>
      </x:c>
      <x:c r="B56" s="31" t="str"/>
      <x:c r="C56" s="31" t="str">
        <x:v>Descarnador cabo 101307/Athlet</x:v>
      </x:c>
      <x:c r="D56" s="31" t="str">
        <x:v>un</x:v>
      </x:c>
      <x:c r="E56" s="31" t="str">
        <x:v>Equifermaq - Com de Maq e Fer, Lda</x:v>
      </x:c>
      <x:c r="F56" s="33" t="n">
        <x:v>6</x:v>
      </x:c>
      <x:c r="G56" s="31" t="str">
        <x:f>IF(F56&gt;0,"Em stock","Sem stock")</x:f>
        <x:v>Em stock</x:v>
      </x:c>
    </x:row>
    <x:row r="57">
      <x:c r="A57" s="31" t="str">
        <x:v>Engenho</x:v>
      </x:c>
      <x:c r="B57" s="31" t="str"/>
      <x:c r="C57" s="31" t="str">
        <x:v>Engenho de Furar Coluna Optidrill DQ25LT</x:v>
      </x:c>
      <x:c r="D57" s="31" t="str">
        <x:v>un</x:v>
      </x:c>
      <x:c r="E57" s="31" t="str"/>
      <x:c r="F57" s="33" t="n">
        <x:v>1</x:v>
      </x:c>
      <x:c r="G57" s="31" t="str">
        <x:f>IF(F57&gt;0,"Em stock","Sem stock")</x:f>
        <x:v>Em stock</x:v>
      </x:c>
    </x:row>
    <x:row r="58">
      <x:c r="A58" s="31" t="str">
        <x:v>ESC-001</x:v>
      </x:c>
      <x:c r="B58" s="31" t="str"/>
      <x:c r="C58" s="31" t="str">
        <x:v>ESCORPO C/ PUNHO DE PROTEÇÃO 16X300MM</x:v>
      </x:c>
      <x:c r="D58" s="31" t="str">
        <x:v>un</x:v>
      </x:c>
      <x:c r="E58" s="31" t="str">
        <x:v>Ferramaq</x:v>
      </x:c>
      <x:c r="F58" s="33" t="n">
        <x:v>1</x:v>
      </x:c>
      <x:c r="G58" s="31" t="str">
        <x:f>IF(F58&gt;0,"Em stock","Sem stock")</x:f>
        <x:v>Em stock</x:v>
      </x:c>
    </x:row>
    <x:row r="59">
      <x:c r="A59" s="31" t="str">
        <x:v>ESM-001</x:v>
      </x:c>
      <x:c r="B59" s="31" t="str"/>
      <x:c r="C59" s="31" t="str">
        <x:v>ESMERILADORA SANDY 117-125MM</x:v>
      </x:c>
      <x:c r="D59" s="31" t="str">
        <x:v>un</x:v>
      </x:c>
      <x:c r="E59" s="31" t="str">
        <x:v>Ferramaq</x:v>
      </x:c>
      <x:c r="F59" s="33" t="n">
        <x:v>1</x:v>
      </x:c>
      <x:c r="G59" s="31" t="str">
        <x:f>IF(F59&gt;0,"Em stock","Sem stock")</x:f>
        <x:v>Em stock</x:v>
      </x:c>
    </x:row>
    <x:row r="60">
      <x:c r="A60" s="31" t="str">
        <x:v>291162</x:v>
      </x:c>
      <x:c r="B60" s="31" t="str"/>
      <x:c r="C60" s="31" t="str">
        <x:v>Extensão 25 m com enrolador 3G1,5</x:v>
      </x:c>
      <x:c r="D60" s="31" t="str">
        <x:v>un</x:v>
      </x:c>
      <x:c r="E60" s="31" t="str">
        <x:v>Equifermaq - Com de Maq e Fer, Lda</x:v>
      </x:c>
      <x:c r="F60" s="33" t="n">
        <x:v>2</x:v>
      </x:c>
      <x:c r="G60" s="31" t="str">
        <x:f>IF(F60&gt;0,"Em stock","Sem stock")</x:f>
        <x:v>Em stock</x:v>
      </x:c>
    </x:row>
    <x:row r="61">
      <x:c r="A61" s="31" t="str">
        <x:v>238967</x:v>
      </x:c>
      <x:c r="B61" s="31" t="str"/>
      <x:c r="C61" s="31" t="str">
        <x:v>Extensao 3S c/int.3G1,5-3mts</x:v>
      </x:c>
      <x:c r="D61" s="31" t="str">
        <x:v>un</x:v>
      </x:c>
      <x:c r="E61" s="31" t="str">
        <x:v>Equifermaq - Com de Maq e Fer, Lda</x:v>
      </x:c>
      <x:c r="F61" s="33" t="n">
        <x:v>6</x:v>
      </x:c>
      <x:c r="G61" s="31" t="str">
        <x:f>IF(F61&gt;0,"Em stock","Sem stock")</x:f>
        <x:v>Em stock</x:v>
      </x:c>
    </x:row>
    <x:row r="62">
      <x:c r="A62" s="31" t="str">
        <x:v>282681</x:v>
      </x:c>
      <x:c r="B62" s="31" t="str"/>
      <x:c r="C62" s="31" t="str">
        <x:v>Extensao 3S c/int.3G1,5-5mts</x:v>
      </x:c>
      <x:c r="D62" s="31" t="str">
        <x:v>un</x:v>
      </x:c>
      <x:c r="E62" s="31" t="str">
        <x:v>Equifermaq - Com de Maq e Fer, Lda</x:v>
      </x:c>
      <x:c r="F62" s="33" t="n">
        <x:v>3</x:v>
      </x:c>
      <x:c r="G62" s="31" t="str">
        <x:f>IF(F62&gt;0,"Em stock","Sem stock")</x:f>
        <x:v>Em stock</x:v>
      </x:c>
    </x:row>
    <x:row r="63">
      <x:c r="A63" s="31" t="str">
        <x:v>281800</x:v>
      </x:c>
      <x:c r="B63" s="31" t="str"/>
      <x:c r="C63" s="31" t="str">
        <x:v>Extensao 6S c/int.3G1,5-3mts</x:v>
      </x:c>
      <x:c r="D63" s="31" t="str">
        <x:v>un</x:v>
      </x:c>
      <x:c r="E63" s="31" t="str">
        <x:v>Equifermaq - Com de Maq e Fer, Lda</x:v>
      </x:c>
      <x:c r="F63" s="33" t="n">
        <x:v>6</x:v>
      </x:c>
      <x:c r="G63" s="31" t="str">
        <x:f>IF(F63&gt;0,"Em stock","Sem stock")</x:f>
        <x:v>Em stock</x:v>
      </x:c>
    </x:row>
    <x:row r="64">
      <x:c r="A64" s="31" t="str">
        <x:v>5004696</x:v>
      </x:c>
      <x:c r="B64" s="31" t="str">
        <x:v>5004696</x:v>
      </x:c>
      <x:c r="C64" s="31" t="str">
        <x:v>FACA ALCATIFA PROF. MET. C/TRAVAO</x:v>
      </x:c>
      <x:c r="D64" s="31" t="str">
        <x:v>un</x:v>
      </x:c>
      <x:c r="E64" s="31" t="str">
        <x:v>Joao S. Azevedo, Lda</x:v>
      </x:c>
      <x:c r="F64" s="33" t="n">
        <x:v>11</x:v>
      </x:c>
      <x:c r="G64" s="31" t="str">
        <x:f>IF(F64&gt;0,"Em stock","Sem stock")</x:f>
        <x:v>Em stock</x:v>
      </x:c>
    </x:row>
    <x:row r="65">
      <x:c r="A65" s="31" t="str">
        <x:v>4001935</x:v>
      </x:c>
      <x:c r="B65" s="31" t="str">
        <x:v>4001935</x:v>
      </x:c>
      <x:c r="C65" s="31" t="str">
        <x:v>FECHADURA CAIXA CORREIO MACFER LM603</x:v>
      </x:c>
      <x:c r="D65" s="31" t="str">
        <x:v>un</x:v>
      </x:c>
      <x:c r="E65" s="31" t="str">
        <x:v>Joao S. Azevedo, Lda</x:v>
      </x:c>
      <x:c r="F65" s="33" t="n">
        <x:v>0</x:v>
      </x:c>
      <x:c r="G65" s="31" t="str">
        <x:f>IF(F65&gt;0,"Em stock","Sem stock")</x:f>
        <x:v>Sem stock</x:v>
      </x:c>
    </x:row>
    <x:row r="66">
      <x:c r="A66" s="31" t="str">
        <x:v>FIT-001</x:v>
      </x:c>
      <x:c r="B66" s="31" t="str"/>
      <x:c r="C66" s="31" t="str">
        <x:v>FITA MÉTRICA STANLEY 5 MT TYLON</x:v>
      </x:c>
      <x:c r="D66" s="31" t="str">
        <x:v>un</x:v>
      </x:c>
      <x:c r="E66" s="31" t="str">
        <x:v>Ferramaq</x:v>
      </x:c>
      <x:c r="F66" s="33" t="n">
        <x:v>2</x:v>
      </x:c>
      <x:c r="G66" s="31" t="str">
        <x:f>IF(F66&gt;0,"Em stock","Sem stock")</x:f>
        <x:v>Em stock</x:v>
      </x:c>
    </x:row>
    <x:row r="67">
      <x:c r="A67" s="31" t="str">
        <x:v>800622</x:v>
      </x:c>
      <x:c r="B67" s="31" t="str"/>
      <x:c r="C67" s="31" t="str">
        <x:v>Fita Serra M42 1735x13x0,9-6/10-Wikus</x:v>
      </x:c>
      <x:c r="D67" s="31" t="str">
        <x:v>un</x:v>
      </x:c>
      <x:c r="E67" s="31" t="str">
        <x:v>Equifermaq - Com de Maq e Fer, Lda</x:v>
      </x:c>
      <x:c r="F67" s="33" t="n">
        <x:v>2</x:v>
      </x:c>
      <x:c r="G67" s="31" t="str">
        <x:f>IF(F67&gt;0,"Em stock","Sem stock")</x:f>
        <x:v>Em stock</x:v>
      </x:c>
    </x:row>
    <x:row r="68">
      <x:c r="A68" s="31" t="str">
        <x:v>1067</x:v>
      </x:c>
      <x:c r="B68" s="31" t="str"/>
      <x:c r="C68" s="31" t="str">
        <x:v>Fresa para postes</x:v>
      </x:c>
      <x:c r="D68" s="31" t="str">
        <x:v>un</x:v>
      </x:c>
      <x:c r="E68" s="31" t="str">
        <x:v>Domingos da Silva Teixeira, S.A.</x:v>
      </x:c>
      <x:c r="F68" s="33" t="n">
        <x:v>1</x:v>
      </x:c>
      <x:c r="G68" s="31" t="str">
        <x:f>IF(F68&gt;0,"Em stock","Sem stock")</x:f>
        <x:v>Em stock</x:v>
      </x:c>
    </x:row>
    <x:row r="69">
      <x:c r="A69" s="31" t="str">
        <x:v>1038</x:v>
      </x:c>
      <x:c r="B69" s="31" t="str"/>
      <x:c r="C69" s="31" t="str">
        <x:v>Gerador EU 30 IS</x:v>
      </x:c>
      <x:c r="D69" s="31" t="str">
        <x:v>un</x:v>
      </x:c>
      <x:c r="E69" s="31" t="str">
        <x:v>Domingos da Silva Teixeira, S.A.</x:v>
      </x:c>
      <x:c r="F69" s="33" t="n">
        <x:v>1</x:v>
      </x:c>
      <x:c r="G69" s="31" t="str">
        <x:f>IF(F69&gt;0,"Em stock","Sem stock")</x:f>
        <x:v>Em stock</x:v>
      </x:c>
    </x:row>
    <x:row r="70">
      <x:c r="A70" s="31" t="str">
        <x:v>142736</x:v>
      </x:c>
      <x:c r="B70" s="31" t="str"/>
      <x:c r="C70" s="31" t="str">
        <x:v>Jogo chave caixa 26 peças 1/2</x:v>
      </x:c>
      <x:c r="D70" s="31" t="str">
        <x:v>un</x:v>
      </x:c>
      <x:c r="E70" s="31" t="str">
        <x:v>Equifermaq - Com de Maq e Fer, Lda</x:v>
      </x:c>
      <x:c r="F70" s="33" t="n">
        <x:v>1</x:v>
      </x:c>
      <x:c r="G70" s="31" t="str">
        <x:f>IF(F70&gt;0,"Em stock","Sem stock")</x:f>
        <x:v>Em stock</x:v>
      </x:c>
    </x:row>
    <x:row r="71">
      <x:c r="A71" s="31" t="str">
        <x:v>2811121</x:v>
      </x:c>
      <x:c r="B71" s="31" t="str"/>
      <x:c r="C71" s="31" t="str">
        <x:v>Jogo chave de fenda 8 peças</x:v>
      </x:c>
      <x:c r="D71" s="31" t="str">
        <x:v>un</x:v>
      </x:c>
      <x:c r="E71" s="31" t="str">
        <x:v>Equifermaq - Com de Maq e Fer, Lda</x:v>
      </x:c>
      <x:c r="F71" s="33" t="n">
        <x:v>2</x:v>
      </x:c>
      <x:c r="G71" s="31" t="str">
        <x:f>IF(F71&gt;0,"Em stock","Sem stock")</x:f>
        <x:v>Em stock</x:v>
      </x:c>
    </x:row>
    <x:row r="72">
      <x:c r="A72" s="31" t="str">
        <x:v>2403724</x:v>
      </x:c>
      <x:c r="B72" s="31" t="str"/>
      <x:c r="C72" s="31" t="str">
        <x:v>KIT TE 500-AVR</x:v>
      </x:c>
      <x:c r="D72" s="31" t="str">
        <x:v>un</x:v>
      </x:c>
      <x:c r="E72" s="31" t="str"/>
      <x:c r="F72" s="33" t="n">
        <x:v>0</x:v>
      </x:c>
      <x:c r="G72" s="31" t="str">
        <x:f>IF(F72&gt;0,"Em stock","Sem stock")</x:f>
        <x:v>Sem stock</x:v>
      </x:c>
    </x:row>
    <x:row r="73">
      <x:c r="A73" s="31" t="str">
        <x:v>125033</x:v>
      </x:c>
      <x:c r="B73" s="31" t="str"/>
      <x:c r="C73" s="31" t="str">
        <x:v>Lima paralela 10"</x:v>
      </x:c>
      <x:c r="D73" s="31" t="str">
        <x:v>un</x:v>
      </x:c>
      <x:c r="E73" s="31" t="str">
        <x:v>Equifermaq - Com de Maq e Fer, Lda</x:v>
      </x:c>
      <x:c r="F73" s="33" t="n">
        <x:v>2</x:v>
      </x:c>
      <x:c r="G73" s="31" t="str">
        <x:f>IF(F73&gt;0,"Em stock","Sem stock")</x:f>
        <x:v>Em stock</x:v>
      </x:c>
    </x:row>
    <x:row r="74">
      <x:c r="A74" s="31" t="str">
        <x:v>2302322</x:v>
      </x:c>
      <x:c r="B74" s="31" t="str"/>
      <x:c r="C74" s="31" t="str">
        <x:v>Maçarico C-306 ACET./90-480</x:v>
      </x:c>
      <x:c r="D74" s="31" t="str">
        <x:v>un</x:v>
      </x:c>
      <x:c r="E74" s="31" t="str">
        <x:v>Nippon Gases Portugal, Unip Lda</x:v>
      </x:c>
      <x:c r="F74" s="33" t="n">
        <x:v>1</x:v>
      </x:c>
      <x:c r="G74" s="31" t="str">
        <x:f>IF(F74&gt;0,"Em stock","Sem stock")</x:f>
        <x:v>Em stock</x:v>
      </x:c>
    </x:row>
    <x:row r="75">
      <x:c r="A75" s="31" t="str">
        <x:v>MAC-001</x:v>
      </x:c>
      <x:c r="B75" s="31" t="str"/>
      <x:c r="C75" s="31" t="str">
        <x:v>MACETA CABO DE MADEIRA 1KG</x:v>
      </x:c>
      <x:c r="D75" s="31" t="str">
        <x:v>un</x:v>
      </x:c>
      <x:c r="E75" s="31" t="str">
        <x:v>Ferramaq</x:v>
      </x:c>
      <x:c r="F75" s="33" t="n">
        <x:v>1</x:v>
      </x:c>
      <x:c r="G75" s="31" t="str">
        <x:f>IF(F75&gt;0,"Em stock","Sem stock")</x:f>
        <x:v>Em stock</x:v>
      </x:c>
    </x:row>
    <x:row r="76">
      <x:c r="A76" s="31" t="str">
        <x:v>557A</x:v>
      </x:c>
      <x:c r="B76" s="31" t="str">
        <x:v>75173042</x:v>
      </x:c>
      <x:c r="C76" s="31" t="str">
        <x:v>MANÍPULO PARA COMANDO MANUAL DOS SECCIONADORES [Chave quadrada]</x:v>
      </x:c>
      <x:c r="D76" s="31" t="str">
        <x:v>un</x:v>
      </x:c>
      <x:c r="E76" s="31" t="str"/>
      <x:c r="F76" s="33" t="n">
        <x:v>0</x:v>
      </x:c>
      <x:c r="G76" s="31" t="str">
        <x:f>IF(F76&gt;0,"Em stock","Sem stock")</x:f>
        <x:v>Sem stock</x:v>
      </x:c>
    </x:row>
    <x:row r="77">
      <x:c r="A77" s="31" t="str">
        <x:v>557B</x:v>
      </x:c>
      <x:c r="B77" s="31" t="str">
        <x:v>75173040</x:v>
      </x:c>
      <x:c r="C77" s="31" t="str">
        <x:v>MANÍPULO PARA COMANDO MANUAL DOS SECCIONADORES [Chave triangular]</x:v>
      </x:c>
      <x:c r="D77" s="31" t="str">
        <x:v>un</x:v>
      </x:c>
      <x:c r="E77" s="31" t="str"/>
      <x:c r="F77" s="33" t="n">
        <x:v>0</x:v>
      </x:c>
      <x:c r="G77" s="31" t="str">
        <x:f>IF(F77&gt;0,"Em stock","Sem stock")</x:f>
        <x:v>Sem stock</x:v>
      </x:c>
    </x:row>
    <x:row r="78">
      <x:c r="A78" s="31" t="str">
        <x:v>MARRETA</x:v>
      </x:c>
      <x:c r="B78" s="31" t="str"/>
      <x:c r="C78" s="31" t="str">
        <x:v>MARRETA 4KG</x:v>
      </x:c>
      <x:c r="D78" s="31" t="str">
        <x:v>un</x:v>
      </x:c>
      <x:c r="E78" s="31" t="str"/>
      <x:c r="F78" s="33" t="n">
        <x:v>1</x:v>
      </x:c>
      <x:c r="G78" s="31" t="str">
        <x:f>IF(F78&gt;0,"Em stock","Sem stock")</x:f>
        <x:v>Em stock</x:v>
      </x:c>
    </x:row>
    <x:row r="79">
      <x:c r="A79" s="31" t="str">
        <x:v>5003593</x:v>
      </x:c>
      <x:c r="B79" s="31" t="str">
        <x:v>5003593</x:v>
      </x:c>
      <x:c r="C79" s="31" t="str">
        <x:v>MARRETA CABO FIBRA MACFER 4 KG</x:v>
      </x:c>
      <x:c r="D79" s="31" t="str">
        <x:v>un</x:v>
      </x:c>
      <x:c r="E79" s="31" t="str">
        <x:v>Joao S. Azevedo, Lda</x:v>
      </x:c>
      <x:c r="F79" s="33" t="n">
        <x:v>0</x:v>
      </x:c>
      <x:c r="G79" s="31" t="str">
        <x:f>IF(F79&gt;0,"Em stock","Sem stock")</x:f>
        <x:v>Sem stock</x:v>
      </x:c>
    </x:row>
    <x:row r="80">
      <x:c r="A80" s="31" t="str">
        <x:v>MAR-001</x:v>
      </x:c>
      <x:c r="B80" s="31" t="str"/>
      <x:c r="C80" s="31" t="str">
        <x:v>MARTELO BOLA 910GR (32OZ)</x:v>
      </x:c>
      <x:c r="D80" s="31" t="str">
        <x:v>un</x:v>
      </x:c>
      <x:c r="E80" s="31" t="str">
        <x:v>Ferramaq</x:v>
      </x:c>
      <x:c r="F80" s="33" t="n">
        <x:v>2</x:v>
      </x:c>
      <x:c r="G80" s="31" t="str">
        <x:f>IF(F80&gt;0,"Em stock","Sem stock")</x:f>
        <x:v>Em stock</x:v>
      </x:c>
    </x:row>
    <x:row r="81">
      <x:c r="A81" s="31" t="str">
        <x:v>MAR-002</x:v>
      </x:c>
      <x:c r="B81" s="31" t="str"/>
      <x:c r="C81" s="31" t="str">
        <x:v>MARTELO CABEÇA PLASTICO 4X35</x:v>
      </x:c>
      <x:c r="D81" s="31" t="str">
        <x:v>un</x:v>
      </x:c>
      <x:c r="E81" s="31" t="str">
        <x:v>Ferramaq</x:v>
      </x:c>
      <x:c r="F81" s="33" t="n">
        <x:v>2</x:v>
      </x:c>
      <x:c r="G81" s="31" t="str">
        <x:f>IF(F81&gt;0,"Em stock","Sem stock")</x:f>
        <x:v>Em stock</x:v>
      </x:c>
    </x:row>
    <x:row r="82">
      <x:c r="A82" s="31" t="str">
        <x:v>2253057</x:v>
      </x:c>
      <x:c r="B82" s="31" t="str"/>
      <x:c r="C82" s="31" t="str">
        <x:v>Martelo Perfurador Bateria TE 0000464738</x:v>
      </x:c>
      <x:c r="D82" s="31" t="str">
        <x:v>un</x:v>
      </x:c>
      <x:c r="E82" s="31" t="str"/>
      <x:c r="F82" s="33" t="n">
        <x:v>0</x:v>
      </x:c>
      <x:c r="G82" s="31" t="str">
        <x:f>IF(F82&gt;0,"Em stock","Sem stock")</x:f>
        <x:v>Sem stock</x:v>
      </x:c>
    </x:row>
    <x:row r="83">
      <x:c r="A83" s="31" t="str">
        <x:v>5000627</x:v>
      </x:c>
      <x:c r="B83" s="31" t="str">
        <x:v>5000627</x:v>
      </x:c>
      <x:c r="C83" s="31" t="str">
        <x:v>Martelo t/americano HMC32-mcf</x:v>
      </x:c>
      <x:c r="D83" s="31" t="str">
        <x:v>un</x:v>
      </x:c>
      <x:c r="E83" s="31" t="str">
        <x:v>Equifermaq - Com de Maq e Fer, Lda</x:v>
      </x:c>
      <x:c r="F83" s="33" t="n">
        <x:v>1</x:v>
      </x:c>
      <x:c r="G83" s="31" t="str">
        <x:f>IF(F83&gt;0,"Em stock","Sem stock")</x:f>
        <x:v>Em stock</x:v>
      </x:c>
    </x:row>
    <x:row r="84">
      <x:c r="A84" s="31" t="str">
        <x:v>712058</x:v>
      </x:c>
      <x:c r="B84" s="31" t="str"/>
      <x:c r="C84" s="31" t="str">
        <x:v>Máscara de soldar automática</x:v>
      </x:c>
      <x:c r="D84" s="31" t="str">
        <x:v>un</x:v>
      </x:c>
      <x:c r="E84" s="31" t="str">
        <x:v>Equifermaq - Com de Maq e Fer, Lda</x:v>
      </x:c>
      <x:c r="F84" s="33" t="n">
        <x:v>1</x:v>
      </x:c>
      <x:c r="G84" s="31" t="str">
        <x:f>IF(F84&gt;0,"Em stock","Sem stock")</x:f>
        <x:v>Em stock</x:v>
      </x:c>
    </x:row>
    <x:row r="85">
      <x:c r="A85" s="31" t="str">
        <x:v>4037906</x:v>
      </x:c>
      <x:c r="B85" s="31" t="str">
        <x:v>4037906</x:v>
      </x:c>
      <x:c r="C85" s="31" t="str">
        <x:v>MOLDES KLK CHAVE ""PL-LH" 30x3,5 LSVIP</x:v>
      </x:c>
      <x:c r="D85" s="31" t="str">
        <x:v>un</x:v>
      </x:c>
      <x:c r="E85" s="31" t="str">
        <x:v>Jobasi - Aces. Elect. e Bronzes, SA</x:v>
      </x:c>
      <x:c r="F85" s="33" t="n">
        <x:v>38</x:v>
      </x:c>
      <x:c r="G85" s="31" t="str">
        <x:f>IF(F85&gt;0,"Em stock","Sem stock")</x:f>
        <x:v>Em stock</x:v>
      </x:c>
    </x:row>
    <x:row r="86">
      <x:c r="A86" s="31" t="str">
        <x:v>100040</x:v>
      </x:c>
      <x:c r="B86" s="31" t="str"/>
      <x:c r="C86" s="31" t="str">
        <x:v>Nível alumínio EPT2003B – 40 cm</x:v>
      </x:c>
      <x:c r="D86" s="31" t="str">
        <x:v>un</x:v>
      </x:c>
      <x:c r="E86" s="31" t="str">
        <x:v>Equifermaq - Com de Maq e Fer, Lda</x:v>
      </x:c>
      <x:c r="F86" s="33" t="n">
        <x:v>2</x:v>
      </x:c>
      <x:c r="G86" s="31" t="str">
        <x:f>IF(F86&gt;0,"Em stock","Sem stock")</x:f>
        <x:v>Em stock</x:v>
      </x:c>
    </x:row>
    <x:row r="87">
      <x:c r="A87" s="31" t="str">
        <x:v>5003918</x:v>
      </x:c>
      <x:c r="B87" s="31" t="str">
        <x:v>5003918</x:v>
      </x:c>
      <x:c r="C87" s="31" t="str">
        <x:v>NIVEL KAPRO GENESIS 781 1 MT</x:v>
      </x:c>
      <x:c r="D87" s="31" t="str">
        <x:v>un</x:v>
      </x:c>
      <x:c r="E87" s="31" t="str">
        <x:v>Joao S. Azevedo, Lda</x:v>
      </x:c>
      <x:c r="F87" s="33" t="n">
        <x:v>0</x:v>
      </x:c>
      <x:c r="G87" s="31" t="str">
        <x:f>IF(F87&gt;0,"Em stock","Sem stock")</x:f>
        <x:v>Sem stock</x:v>
      </x:c>
    </x:row>
    <x:row r="88">
      <x:c r="A88" s="31" t="str">
        <x:v>480659</x:v>
      </x:c>
      <x:c r="B88" s="31" t="str"/>
      <x:c r="C88" s="31" t="str">
        <x:v>Osca / Martelo cobre 1 kg</x:v>
      </x:c>
      <x:c r="D88" s="31" t="str">
        <x:v>un</x:v>
      </x:c>
      <x:c r="E88" s="31" t="str">
        <x:v>Equifermaq - Com de Maq e Fer, Lda</x:v>
      </x:c>
      <x:c r="F88" s="33" t="n">
        <x:v>1</x:v>
      </x:c>
      <x:c r="G88" s="31" t="str">
        <x:f>IF(F88&gt;0,"Em stock","Sem stock")</x:f>
        <x:v>Em stock</x:v>
      </x:c>
    </x:row>
    <x:row r="89">
      <x:c r="A89" s="31" t="str">
        <x:v>2201060</x:v>
      </x:c>
      <x:c r="B89" s="31" t="str"/>
      <x:c r="C89" s="31" t="str">
        <x:v>Paquimetro Analogico</x:v>
      </x:c>
      <x:c r="D89" s="31" t="str">
        <x:v>un</x:v>
      </x:c>
      <x:c r="E89" s="31" t="str">
        <x:v>Joao S. Azevedo, Lda</x:v>
      </x:c>
      <x:c r="F89" s="33" t="n">
        <x:v>0</x:v>
      </x:c>
      <x:c r="G89" s="31" t="str">
        <x:f>IF(F89&gt;0,"Em stock","Sem stock")</x:f>
        <x:v>Sem stock</x:v>
      </x:c>
    </x:row>
    <x:row r="90">
      <x:c r="A90" s="31" t="str">
        <x:v>5001894</x:v>
      </x:c>
      <x:c r="B90" s="31" t="str">
        <x:v>5001894</x:v>
      </x:c>
      <x:c r="C90" s="31" t="str">
        <x:v>PAQUIMETRO ANALOGICO MACFER</x:v>
      </x:c>
      <x:c r="D90" s="31" t="str">
        <x:v>un</x:v>
      </x:c>
      <x:c r="E90" s="31" t="str">
        <x:v>Joao S. Azevedo, Lda</x:v>
      </x:c>
      <x:c r="F90" s="33" t="n">
        <x:v>0</x:v>
      </x:c>
      <x:c r="G90" s="31" t="str">
        <x:f>IF(F90&gt;0,"Em stock","Sem stock")</x:f>
        <x:v>Sem stock</x:v>
      </x:c>
    </x:row>
    <x:row r="91">
      <x:c r="A91" s="31" t="str">
        <x:v>PON-001</x:v>
      </x:c>
      <x:c r="B91" s="31" t="str"/>
      <x:c r="C91" s="31" t="str">
        <x:v>PONTEIRO C/ PUNHO DE PROTEÇÃO 300MM</x:v>
      </x:c>
      <x:c r="D91" s="31" t="str">
        <x:v>un</x:v>
      </x:c>
      <x:c r="E91" s="31" t="str">
        <x:v>Ferramaq</x:v>
      </x:c>
      <x:c r="F91" s="33" t="n">
        <x:v>1</x:v>
      </x:c>
      <x:c r="G91" s="31" t="str">
        <x:f>IF(F91&gt;0,"Em stock","Sem stock")</x:f>
        <x:v>Em stock</x:v>
      </x:c>
    </x:row>
    <x:row r="92">
      <x:c r="A92" s="31" t="str">
        <x:v>109554</x:v>
      </x:c>
      <x:c r="B92" s="31" t="str"/>
      <x:c r="C92" s="31" t="str">
        <x:v>Pulverizador Sady 2,0 lt-DS3708</x:v>
      </x:c>
      <x:c r="D92" s="31" t="str">
        <x:v>un</x:v>
      </x:c>
      <x:c r="E92" s="31" t="str">
        <x:v>Equifermaq - Com de Maq e Fer, Lda</x:v>
      </x:c>
      <x:c r="F92" s="33" t="n">
        <x:v>1</x:v>
      </x:c>
      <x:c r="G92" s="31" t="str">
        <x:f>IF(F92&gt;0,"Em stock","Sem stock")</x:f>
        <x:v>Em stock</x:v>
      </x:c>
    </x:row>
    <x:row r="93">
      <x:c r="A93" s="31" t="str">
        <x:v>5014977</x:v>
      </x:c>
      <x:c r="B93" s="31" t="str">
        <x:v>5014977</x:v>
      </x:c>
      <x:c r="C93" s="31" t="str">
        <x:v>Pulverizador Sady 2,0lt-DS3708</x:v>
      </x:c>
      <x:c r="D93" s="31" t="str">
        <x:v>un</x:v>
      </x:c>
      <x:c r="E93" s="31" t="str">
        <x:v>Equifermaq - Com de Maq e Fer, Lda</x:v>
      </x:c>
      <x:c r="F93" s="33" t="n">
        <x:v>1</x:v>
      </x:c>
      <x:c r="G93" s="31" t="str">
        <x:f>IF(F93&gt;0,"Em stock","Sem stock")</x:f>
        <x:v>Em stock</x:v>
      </x:c>
    </x:row>
    <x:row r="94">
      <x:c r="A94" s="31" t="str">
        <x:v>800634</x:v>
      </x:c>
      <x:c r="B94" s="31" t="str"/>
      <x:c r="C94" s="31" t="str">
        <x:v>Sady Extensao 3S 3G1,5-3mts</x:v>
      </x:c>
      <x:c r="D94" s="31" t="str">
        <x:v>un</x:v>
      </x:c>
      <x:c r="E94" s="31" t="str">
        <x:v>Equifermaq - Com de Maq e Fer, Lda</x:v>
      </x:c>
      <x:c r="F94" s="33" t="n">
        <x:v>3</x:v>
      </x:c>
      <x:c r="G94" s="31" t="str">
        <x:f>IF(F94&gt;0,"Em stock","Sem stock")</x:f>
        <x:v>Em stock</x:v>
      </x:c>
    </x:row>
    <x:row r="95">
      <x:c r="A95" s="31" t="str">
        <x:v>818410</x:v>
      </x:c>
      <x:c r="B95" s="31" t="str"/>
      <x:c r="C95" s="31" t="str">
        <x:v>SDS Plus broca 3500-06x110</x:v>
      </x:c>
      <x:c r="D95" s="31" t="str">
        <x:v>un</x:v>
      </x:c>
      <x:c r="E95" s="31" t="str">
        <x:v>Equifermaq - Com de Maq e Fer, Lda</x:v>
      </x:c>
      <x:c r="F95" s="33" t="n">
        <x:v>20</x:v>
      </x:c>
      <x:c r="G95" s="31" t="str">
        <x:f>IF(F95&gt;0,"Em stock","Sem stock")</x:f>
        <x:v>Em stock</x:v>
      </x:c>
    </x:row>
    <x:row r="96">
      <x:c r="A96" s="31" t="str">
        <x:v>261045</x:v>
      </x:c>
      <x:c r="B96" s="31" t="str"/>
      <x:c r="C96" s="31" t="str">
        <x:v>Serrote Fita Optisaw S150G Vario 230v</x:v>
      </x:c>
      <x:c r="D96" s="31" t="str">
        <x:v>un</x:v>
      </x:c>
      <x:c r="E96" s="31" t="str">
        <x:v>Equifermaq - Com de Maq e Fer, Lda</x:v>
      </x:c>
      <x:c r="F96" s="33" t="n">
        <x:v>1</x:v>
      </x:c>
      <x:c r="G96" s="31" t="str">
        <x:f>IF(F96&gt;0,"Em stock","Sem stock")</x:f>
        <x:v>Em stock</x:v>
      </x:c>
    </x:row>
    <x:row r="97">
      <x:c r="A97" s="31" t="str">
        <x:v>312038</x:v>
      </x:c>
      <x:c r="B97" s="31" t="str"/>
      <x:c r="C97" s="31" t="str">
        <x:v>Soldador inverter RSD200X Nutool</x:v>
      </x:c>
      <x:c r="D97" s="31" t="str">
        <x:v>un</x:v>
      </x:c>
      <x:c r="E97" s="31" t="str">
        <x:v>Equifermaq - Com de Maq e Fer, Lda</x:v>
      </x:c>
      <x:c r="F97" s="33" t="n">
        <x:v>1</x:v>
      </x:c>
      <x:c r="G97" s="31" t="str">
        <x:f>IF(F97&gt;0,"Em stock","Sem stock")</x:f>
        <x:v>Em stock</x:v>
      </x:c>
    </x:row>
    <x:row r="98">
      <x:c r="A98" s="31" t="str">
        <x:v>TD1001</x:v>
      </x:c>
      <x:c r="B98" s="31" t="str"/>
      <x:c r="C98" s="31" t="str">
        <x:v>Tesoura c/ Cabo 24'' TD 1001</x:v>
      </x:c>
      <x:c r="D98" s="31" t="str">
        <x:v>un</x:v>
      </x:c>
      <x:c r="E98" s="31" t="str">
        <x:v>Ferramaq</x:v>
      </x:c>
      <x:c r="F98" s="33" t="n">
        <x:v>2</x:v>
      </x:c>
      <x:c r="G98" s="31" t="str">
        <x:f>IF(F98&gt;0,"Em stock","Sem stock")</x:f>
        <x:v>Em stock</x:v>
      </x:c>
    </x:row>
    <x:row r="99">
      <x:c r="A99" s="31" t="str">
        <x:v>4015731</x:v>
      </x:c>
      <x:c r="B99" s="31" t="str">
        <x:v>4015731</x:v>
      </x:c>
      <x:c r="C99" s="31" t="str">
        <x:v>Tesoura Corta Corta Tubos Mlcp 16-32</x:v>
      </x:c>
      <x:c r="D99" s="31" t="str">
        <x:v>un</x:v>
      </x:c>
      <x:c r="E99" s="31" t="str">
        <x:v>SAP TMv 101</x:v>
      </x:c>
      <x:c r="F99" s="33" t="n">
        <x:v>2</x:v>
      </x:c>
      <x:c r="G99" s="31" t="str">
        <x:f>IF(F99&gt;0,"Em stock","Sem stock")</x:f>
        <x:v>Em stock</x:v>
      </x:c>
    </x:row>
    <x:row r="100">
      <x:c r="A100" s="31" t="str">
        <x:v>TES-001</x:v>
      </x:c>
      <x:c r="B100" s="31" t="str"/>
      <x:c r="C100" s="31" t="str">
        <x:v>TESOURA CORTAR CHAPA CORTE RETO MILWAUKEE</x:v>
      </x:c>
      <x:c r="D100" s="31" t="str">
        <x:v>un</x:v>
      </x:c>
      <x:c r="E100" s="31" t="str">
        <x:v>Ferramaq</x:v>
      </x:c>
      <x:c r="F100" s="33" t="n">
        <x:v>1</x:v>
      </x:c>
      <x:c r="G100" s="31" t="str">
        <x:f>IF(F100&gt;0,"Em stock","Sem stock")</x:f>
        <x:v>Em stock</x:v>
      </x:c>
    </x:row>
    <x:row r="101">
      <x:c r="A101" s="31" t="str">
        <x:v>2205263</x:v>
      </x:c>
      <x:c r="B101" s="31" t="str"/>
      <x:c r="C101" s="31" t="str">
        <x:v>Tesoura Costura Batil 6</x:v>
      </x:c>
      <x:c r="D101" s="31" t="str">
        <x:v>un</x:v>
      </x:c>
      <x:c r="E101" s="31" t="str"/>
      <x:c r="F101" s="33" t="n">
        <x:v>0</x:v>
      </x:c>
      <x:c r="G101" s="31" t="str">
        <x:f>IF(F101&gt;0,"Em stock","Sem stock")</x:f>
        <x:v>Sem stock</x:v>
      </x:c>
    </x:row>
    <x:row r="102">
      <x:c r="A102" s="31" t="str">
        <x:v>TORN-001</x:v>
      </x:c>
      <x:c r="B102" s="31" t="str"/>
      <x:c r="C102" s="31" t="str">
        <x:v>TORNO BASE FIXA 150MM 6"</x:v>
      </x:c>
      <x:c r="D102" s="31" t="str">
        <x:v>un</x:v>
      </x:c>
      <x:c r="E102" s="31" t="str">
        <x:v>Ferramaq</x:v>
      </x:c>
      <x:c r="F102" s="33" t="n">
        <x:v>1</x:v>
      </x:c>
      <x:c r="G102" s="31" t="str">
        <x:f>IF(F102&gt;0,"Em stock","Sem stock")</x:f>
        <x:v>Em stock</x:v>
      </x:c>
    </x:row>
    <x:row r="103">
      <x:c r="A103" s="31" t="str">
        <x:v>TUR-001</x:v>
      </x:c>
      <x:c r="B103" s="31" t="str"/>
      <x:c r="C103" s="31" t="str">
        <x:v>TURQUÊS ARMEIRO CR-V 220MM MAC</x:v>
      </x:c>
      <x:c r="D103" s="31" t="str">
        <x:v>un</x:v>
      </x:c>
      <x:c r="E103" s="31" t="str">
        <x:v>Ferramaq</x:v>
      </x:c>
      <x:c r="F103" s="33" t="n">
        <x:v>2</x:v>
      </x:c>
      <x:c r="G103" s="31" t="str">
        <x:f>IF(F103&gt;0,"Em stock","Sem stock")</x:f>
        <x:v>Em stock</x:v>
      </x:c>
    </x:row>
  </x:sheetData>
  <x:mergeCells>
    <x:mergeCell ref="A1:G1"/>
    <x:mergeCell ref="A2:G2"/>
  </x:mergeCells>
  <x:conditionalFormatting sqref="G5:G103">
    <x:cfRule type="containsText" dxfId="4" priority="1" operator="containsText" text="Em stock"/>
    <x:cfRule type="containsText" dxfId="5" priority="2" operator="containsText" text="Sem stock"/>
  </x:conditionalFormatting>
  <x:pageMargins left="0.7" right="0.7" top="0.75" bottom="0.75" header="0.3" footer="0.3"/>
  <x:tableParts count="1">
    <x:tablePart xmlns:r="http://schemas.openxmlformats.org/officeDocument/2006/relationships" r:id="R09638190337047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48" hidden="0" customWidth="1"/>
    <x:col min="5" max="5" width="10" hidden="0" customWidth="1"/>
    <x:col min="6" max="6" width="38" hidden="0" customWidth="1"/>
    <x:col min="7" max="7" width="12" hidden="0" customWidth="1"/>
    <x:col min="8" max="8" width="14" hidden="0" customWidth="1"/>
  </x:cols>
  <x:sheetData>
    <x:row r="1" ht="30" customHeight="1">
      <x:c r="A1" s="29" t="str">
        <x:v>Listagem completa de ferramentas</x:v>
      </x:c>
      <x:c r="B1" s="29"/>
      <x:c r="C1" s="29"/>
      <x:c r="D1" s="29"/>
      <x:c r="E1" s="29"/>
      <x:c r="F1" s="29"/>
      <x:c r="G1" s="29"/>
      <x:c r="H1" s="29"/>
    </x:row>
    <x:row r="2" ht="22" customHeight="1">
      <x:c r="A2" s="30" t="str">
        <x:v>Obra de Vendas Novas · stock calculado pelos movimentos registados · 27/07/2026</x:v>
      </x:c>
      <x:c r="B2" s="30"/>
      <x:c r="C2" s="30"/>
      <x:c r="D2" s="30"/>
      <x:c r="E2" s="30"/>
      <x:c r="F2" s="30"/>
      <x:c r="G2" s="30"/>
      <x:c r="H2" s="30"/>
    </x:row>
    <x:row r="3">
      <x:c r="A3" s="31"/>
      <x:c r="B3" s="31"/>
      <x:c r="C3" s="31"/>
      <x:c r="D3" s="31"/>
      <x:c r="E3" s="31"/>
      <x:c r="F3" s="31"/>
      <x:c r="G3" s="31"/>
      <x:c r="H3" s="31"/>
    </x:row>
    <x:row r="4" ht="28" customHeight="1">
      <x:c r="A4" s="32" t="str">
        <x:v>Grupo</x:v>
      </x:c>
      <x:c r="B4" s="32" t="str">
        <x:v>Código interno</x:v>
      </x:c>
      <x:c r="C4" s="32" t="str">
        <x:v>Código SAP</x:v>
      </x:c>
      <x:c r="D4" s="32" t="str">
        <x:v>Descrição</x:v>
      </x:c>
      <x:c r="E4" s="32" t="str">
        <x:v>Unidade</x:v>
      </x:c>
      <x:c r="F4" s="32" t="str">
        <x:v>Fornecedor</x:v>
      </x:c>
      <x:c r="G4" s="32" t="str">
        <x:v>Stock atual</x:v>
      </x:c>
      <x:c r="H4" s="32" t="str">
        <x:v>Estado</x:v>
      </x:c>
    </x:row>
    <x:row r="5">
      <x:c r="A5" s="31" t="str">
        <x:v>Hilti</x:v>
      </x:c>
      <x:c r="B5" s="31" t="str">
        <x:v>2251355</x:v>
      </x:c>
      <x:c r="C5" s="31" t="str"/>
      <x:c r="D5" s="31" t="str">
        <x:v>Bateria B 22-110 Li-ion</x:v>
      </x:c>
      <x:c r="E5" s="31" t="str">
        <x:v>un</x:v>
      </x:c>
      <x:c r="F5" s="31" t="str">
        <x:v>Hilti</x:v>
      </x:c>
      <x:c r="G5" s="33" t="n">
        <x:v>2</x:v>
      </x:c>
      <x:c r="H5" s="31" t="str">
        <x:f>IF(G5&gt;0,"Em stock","Sem stock")</x:f>
        <x:v>Em stock</x:v>
      </x:c>
    </x:row>
    <x:row r="6">
      <x:c r="A6" s="31" t="str">
        <x:v>Hilti</x:v>
      </x:c>
      <x:c r="B6" s="31" t="str">
        <x:v>2316496</x:v>
      </x:c>
      <x:c r="C6" s="31" t="str"/>
      <x:c r="D6" s="31" t="str">
        <x:v>Carregador Bateria C 4-22 230V c</x:v>
      </x:c>
      <x:c r="E6" s="31" t="str">
        <x:v>un</x:v>
      </x:c>
      <x:c r="F6" s="31" t="str">
        <x:v>Hilti</x:v>
      </x:c>
      <x:c r="G6" s="33" t="n">
        <x:v>1</x:v>
      </x:c>
      <x:c r="H6" s="31" t="str">
        <x:f>IF(G6&gt;0,"Em stock","Sem stock")</x:f>
        <x:v>Em stock</x:v>
      </x:c>
    </x:row>
    <x:row r="7">
      <x:c r="A7" s="31" t="str">
        <x:v>Hilti</x:v>
      </x:c>
      <x:c r="B7" s="31" t="str">
        <x:v>5011069</x:v>
      </x:c>
      <x:c r="C7" s="31" t="str">
        <x:v>5011069</x:v>
      </x:c>
      <x:c r="D7" s="31" t="str">
        <x:v>Carregador Bateria Hilti</x:v>
      </x:c>
      <x:c r="E7" s="31" t="str">
        <x:v>un</x:v>
      </x:c>
      <x:c r="F7" s="31" t="str">
        <x:v>SAP TMv 101</x:v>
      </x:c>
      <x:c r="G7" s="33" t="n">
        <x:v>2</x:v>
      </x:c>
      <x:c r="H7" s="31" t="str">
        <x:f>IF(G7&gt;0,"Em stock","Sem stock")</x:f>
        <x:v>Em stock</x:v>
      </x:c>
    </x:row>
    <x:row r="8">
      <x:c r="A8" s="31" t="str">
        <x:v>Hilti</x:v>
      </x:c>
      <x:c r="B8" s="31" t="str">
        <x:v>2146841</x:v>
      </x:c>
      <x:c r="C8" s="31" t="str"/>
      <x:c r="D8" s="31" t="str">
        <x:v>Martelo Demolidor TE 500-AVR 23 0000321896</x:v>
      </x:c>
      <x:c r="E8" s="31" t="str">
        <x:v>un</x:v>
      </x:c>
      <x:c r="F8" s="31" t="str">
        <x:v>Hilti</x:v>
      </x:c>
      <x:c r="G8" s="33" t="n">
        <x:v>1</x:v>
      </x:c>
      <x:c r="H8" s="31" t="str">
        <x:f>IF(G8&gt;0,"Em stock","Sem stock")</x:f>
        <x:v>Em stock</x:v>
      </x:c>
    </x:row>
    <x:row r="9">
      <x:c r="A9" s="31" t="str">
        <x:v>Hilti</x:v>
      </x:c>
      <x:c r="B9" s="31" t="str">
        <x:v>2241983</x:v>
      </x:c>
      <x:c r="C9" s="31" t="str"/>
      <x:c r="D9" s="31" t="str">
        <x:v>Ponteiro TE-YX SM 36</x:v>
      </x:c>
      <x:c r="E9" s="31" t="str">
        <x:v>un</x:v>
      </x:c>
      <x:c r="F9" s="31" t="str">
        <x:v>Hilti</x:v>
      </x:c>
      <x:c r="G9" s="33" t="n">
        <x:v>1</x:v>
      </x:c>
      <x:c r="H9" s="31" t="str">
        <x:f>IF(G9&gt;0,"Em stock","Sem stock")</x:f>
        <x:v>Em stock</x:v>
      </x:c>
    </x:row>
    <x:row r="10">
      <x:c r="A10" s="31" t="str">
        <x:v>Makita</x:v>
      </x:c>
      <x:c r="B10" s="31" t="str">
        <x:v>BerbequimMakita</x:v>
      </x:c>
      <x:c r="C10" s="31" t="str"/>
      <x:c r="D10" s="31" t="str">
        <x:v>Berbequim Aparafusador 18v 5.0Ah DDF484RTJ Makita</x:v>
      </x:c>
      <x:c r="E10" s="31" t="str">
        <x:v>un</x:v>
      </x:c>
      <x:c r="F10" s="31" t="str">
        <x:v>Ferramaq</x:v>
      </x:c>
      <x:c r="G10" s="33" t="n">
        <x:v>2</x:v>
      </x:c>
      <x:c r="H10" s="31" t="str">
        <x:f>IF(G10&gt;0,"Em stock","Sem stock")</x:f>
        <x:v>Em stock</x:v>
      </x:c>
    </x:row>
    <x:row r="11">
      <x:c r="A11" s="31" t="str">
        <x:v>Makita</x:v>
      </x:c>
      <x:c r="B11" s="31" t="str">
        <x:v>JOG-001</x:v>
      </x:c>
      <x:c r="C11" s="31" t="str"/>
      <x:c r="D11" s="31" t="str">
        <x:v>JOGO DE 102 PEÇAS DE BOCAS E PONTAS MAKITA</x:v>
      </x:c>
      <x:c r="E11" s="31" t="str">
        <x:v>un</x:v>
      </x:c>
      <x:c r="F11" s="31" t="str">
        <x:v>Ferramaq</x:v>
      </x:c>
      <x:c r="G11" s="33" t="n">
        <x:v>1</x:v>
      </x:c>
      <x:c r="H11" s="31" t="str">
        <x:f>IF(G11&gt;0,"Em stock","Sem stock")</x:f>
        <x:v>Em stock</x:v>
      </x:c>
    </x:row>
    <x:row r="12">
      <x:c r="A12" s="31" t="str">
        <x:v>Makita</x:v>
      </x:c>
      <x:c r="B12" s="31" t="str">
        <x:v>RebarbadoraMakita</x:v>
      </x:c>
      <x:c r="C12" s="31" t="str"/>
      <x:c r="D12" s="31" t="str">
        <x:v>Rebarbadora 125mm 18v 4.0 AH DGA504RMJ Makita</x:v>
      </x:c>
      <x:c r="E12" s="31" t="str">
        <x:v>un</x:v>
      </x:c>
      <x:c r="F12" s="31" t="str">
        <x:v>Ferramaq</x:v>
      </x:c>
      <x:c r="G12" s="33" t="n">
        <x:v>1</x:v>
      </x:c>
      <x:c r="H12" s="31" t="str">
        <x:f>IF(G12&gt;0,"Em stock","Sem stock")</x:f>
        <x:v>Em stock</x:v>
      </x:c>
    </x:row>
    <x:row r="13">
      <x:c r="A13" s="31" t="str">
        <x:v>Outras ferramentas</x:v>
      </x:c>
      <x:c r="B13" s="31" t="str">
        <x:v>944</x:v>
      </x:c>
      <x:c r="C13" s="31" t="str"/>
      <x:c r="D13" s="31" t="str">
        <x:v>944</x:v>
      </x:c>
      <x:c r="E13" s="31" t="str">
        <x:v>un</x:v>
      </x:c>
      <x:c r="F13" s="31" t="str">
        <x:v>Domingos da Silva Teixeira, S.A.</x:v>
      </x:c>
      <x:c r="G13" s="33" t="n">
        <x:v>1</x:v>
      </x:c>
      <x:c r="H13" s="31" t="str">
        <x:f>IF(G13&gt;0,"Em stock","Sem stock")</x:f>
        <x:v>Em stock</x:v>
      </x:c>
    </x:row>
    <x:row r="14">
      <x:c r="A14" s="31" t="str">
        <x:v>Outras ferramentas</x:v>
      </x:c>
      <x:c r="B14" s="31" t="str">
        <x:v>5016685</x:v>
      </x:c>
      <x:c r="C14" s="31" t="str">
        <x:v>5016685</x:v>
      </x:c>
      <x:c r="D14" s="31" t="str">
        <x:v>Adaptador P/ Serra Craneanas</x:v>
      </x:c>
      <x:c r="E14" s="31" t="str">
        <x:v>un</x:v>
      </x:c>
      <x:c r="F14" s="31" t="str">
        <x:v>SAP TMv 101</x:v>
      </x:c>
      <x:c r="G14" s="33" t="n">
        <x:v>1</x:v>
      </x:c>
      <x:c r="H14" s="31" t="str">
        <x:f>IF(G14&gt;0,"Em stock","Sem stock")</x:f>
        <x:v>Em stock</x:v>
      </x:c>
    </x:row>
    <x:row r="15">
      <x:c r="A15" s="31" t="str">
        <x:v>Outras ferramentas</x:v>
      </x:c>
      <x:c r="B15" s="31" t="str">
        <x:v>ALI-002</x:v>
      </x:c>
      <x:c r="C15" s="31" t="str"/>
      <x:c r="D15" s="31" t="str">
        <x:v>ALICATE A/C CORTE LATERAL 03 180MM</x:v>
      </x:c>
      <x:c r="E15" s="31" t="str">
        <x:v>un</x:v>
      </x:c>
      <x:c r="F15" s="31" t="str">
        <x:v>Ferramaq</x:v>
      </x:c>
      <x:c r="G15" s="33" t="n">
        <x:v>4</x:v>
      </x:c>
      <x:c r="H15" s="31" t="str">
        <x:f>IF(G15&gt;0,"Em stock","Sem stock")</x:f>
        <x:v>Em stock</x:v>
      </x:c>
    </x:row>
    <x:row r="16">
      <x:c r="A16" s="31" t="str">
        <x:v>Outras ferramentas</x:v>
      </x:c>
      <x:c r="B16" s="31" t="str">
        <x:v>ALI-001</x:v>
      </x:c>
      <x:c r="C16" s="31" t="str"/>
      <x:c r="D16" s="31" t="str">
        <x:v>ALICATE A/C UNIVERSAL 01 180MM</x:v>
      </x:c>
      <x:c r="E16" s="31" t="str">
        <x:v>un</x:v>
      </x:c>
      <x:c r="F16" s="31" t="str">
        <x:v>Ferramaq</x:v>
      </x:c>
      <x:c r="G16" s="33" t="n">
        <x:v>2</x:v>
      </x:c>
      <x:c r="H16" s="31" t="str">
        <x:f>IF(G16&gt;0,"Em stock","Sem stock")</x:f>
        <x:v>Em stock</x:v>
      </x:c>
    </x:row>
    <x:row r="17">
      <x:c r="A17" s="31" t="str">
        <x:v>Outras ferramentas</x:v>
      </x:c>
      <x:c r="B17" s="31" t="str">
        <x:v>281189</x:v>
      </x:c>
      <x:c r="C17" s="31" t="str"/>
      <x:c r="D17" s="31" t="str">
        <x:v>Alicate cravar terminais alumínio</x:v>
      </x:c>
      <x:c r="E17" s="31" t="str">
        <x:v>un</x:v>
      </x:c>
      <x:c r="F17" s="31" t="str">
        <x:v>Equifermaq - Com de Maq e Fer, Lda</x:v>
      </x:c>
      <x:c r="G17" s="33" t="n">
        <x:v>2</x:v>
      </x:c>
      <x:c r="H17" s="31" t="str">
        <x:f>IF(G17&gt;0,"Em stock","Sem stock")</x:f>
        <x:v>Em stock</x:v>
      </x:c>
    </x:row>
    <x:row r="18">
      <x:c r="A18" s="31" t="str">
        <x:v>Outras ferramentas</x:v>
      </x:c>
      <x:c r="B18" s="31" t="str">
        <x:v>ALI-003</x:v>
      </x:c>
      <x:c r="C18" s="31" t="str"/>
      <x:c r="D18" s="31" t="str">
        <x:v>ALICATE PRESSÃO BOCA CURVA CR-V 10" MAC</x:v>
      </x:c>
      <x:c r="E18" s="31" t="str">
        <x:v>un</x:v>
      </x:c>
      <x:c r="F18" s="31" t="str">
        <x:v>Ferramaq</x:v>
      </x:c>
      <x:c r="G18" s="33" t="n">
        <x:v>2</x:v>
      </x:c>
      <x:c r="H18" s="31" t="str">
        <x:f>IF(G18&gt;0,"Em stock","Sem stock")</x:f>
        <x:v>Em stock</x:v>
      </x:c>
    </x:row>
    <x:row r="19">
      <x:c r="A19" s="31" t="str">
        <x:v>Outras ferramentas</x:v>
      </x:c>
      <x:c r="B19" s="31" t="str">
        <x:v>2120</x:v>
      </x:c>
      <x:c r="C19" s="31" t="str"/>
      <x:c r="D19" s="31" t="str">
        <x:v>Berbequim Aparafusador 18v  4,0Ah Bosch</x:v>
      </x:c>
      <x:c r="E19" s="31" t="str">
        <x:v>un</x:v>
      </x:c>
      <x:c r="F19" s="31" t="str">
        <x:v>Domingos da Silva Teixeira, S.A.</x:v>
      </x:c>
      <x:c r="G19" s="33" t="n">
        <x:v>1</x:v>
      </x:c>
      <x:c r="H19" s="31" t="str">
        <x:f>IF(G19&gt;0,"Em stock","Sem stock")</x:f>
        <x:v>Em stock</x:v>
      </x:c>
    </x:row>
    <x:row r="20">
      <x:c r="A20" s="31" t="str">
        <x:v>Outras ferramentas</x:v>
      </x:c>
      <x:c r="B20" s="31" t="str">
        <x:v>BombaÁgua</x:v>
      </x:c>
      <x:c r="C20" s="31" t="str"/>
      <x:c r="D20" s="31" t="str">
        <x:v>Bomba Submersivel p/aguas Suja 1200w 19500L/H Inox ECC Pro 300 SPID'O</x:v>
      </x:c>
      <x:c r="E20" s="31" t="str">
        <x:v>un</x:v>
      </x:c>
      <x:c r="F20" s="31" t="str">
        <x:v>Ferramaq</x:v>
      </x:c>
      <x:c r="G20" s="33" t="n">
        <x:v>1</x:v>
      </x:c>
      <x:c r="H20" s="31" t="str">
        <x:f>IF(G20&gt;0,"Em stock","Sem stock")</x:f>
        <x:v>Em stock</x:v>
      </x:c>
    </x:row>
    <x:row r="21">
      <x:c r="A21" s="31" t="str">
        <x:v>Outras ferramentas</x:v>
      </x:c>
      <x:c r="B21" s="31" t="str">
        <x:v>5000511</x:v>
      </x:c>
      <x:c r="C21" s="31" t="str">
        <x:v>5000511</x:v>
      </x:c>
      <x:c r="D21" s="31" t="str">
        <x:v>Broca Hss-Multinox 07,25mm</x:v>
      </x:c>
      <x:c r="E21" s="31" t="str">
        <x:v>un</x:v>
      </x:c>
      <x:c r="F21" s="31" t="str">
        <x:v>Equifermaq - Com de Maq e Fer, Lda</x:v>
      </x:c>
      <x:c r="G21" s="33" t="n">
        <x:v>2</x:v>
      </x:c>
      <x:c r="H21" s="31" t="str">
        <x:f>IF(G21&gt;0,"Em stock","Sem stock")</x:f>
        <x:v>Em stock</x:v>
      </x:c>
    </x:row>
    <x:row r="22">
      <x:c r="A22" s="31" t="str">
        <x:v>Outras ferramentas</x:v>
      </x:c>
      <x:c r="B22" s="31" t="str">
        <x:v>5000535</x:v>
      </x:c>
      <x:c r="C22" s="31" t="str">
        <x:v>5000535</x:v>
      </x:c>
      <x:c r="D22" s="31" t="str">
        <x:v>Broca Hss-Multinox 13mm</x:v>
      </x:c>
      <x:c r="E22" s="31" t="str">
        <x:v>un</x:v>
      </x:c>
      <x:c r="F22" s="31" t="str">
        <x:v>Equifermaq - Com de Maq e Fer, Lda</x:v>
      </x:c>
      <x:c r="G22" s="33" t="n">
        <x:v>12</x:v>
      </x:c>
      <x:c r="H22" s="31" t="str">
        <x:f>IF(G22&gt;0,"Em stock","Sem stock")</x:f>
        <x:v>Em stock</x:v>
      </x:c>
    </x:row>
    <x:row r="23">
      <x:c r="A23" s="31" t="str">
        <x:v>Outras ferramentas</x:v>
      </x:c>
      <x:c r="B23" s="31" t="str">
        <x:v>Broca 7,25</x:v>
      </x:c>
      <x:c r="C23" s="31" t="str"/>
      <x:c r="D23" s="31" t="str">
        <x:v>Broca Hssm 2-07,25mm-MCF</x:v>
      </x:c>
      <x:c r="E23" s="31" t="str">
        <x:v>un</x:v>
      </x:c>
      <x:c r="F23" s="31" t="str"/>
      <x:c r="G23" s="33" t="n">
        <x:v>0</x:v>
      </x:c>
      <x:c r="H23" s="31" t="str">
        <x:f>IF(G23&gt;0,"Em stock","Sem stock")</x:f>
        <x:v>Sem stock</x:v>
      </x:c>
    </x:row>
    <x:row r="24">
      <x:c r="A24" s="31" t="str">
        <x:v>Outras ferramentas</x:v>
      </x:c>
      <x:c r="B24" s="31" t="str">
        <x:v>5012365</x:v>
      </x:c>
      <x:c r="C24" s="31" t="str">
        <x:v>5012365</x:v>
      </x:c>
      <x:c r="D24" s="31" t="str">
        <x:v>BROCA HSSM 2-7,25MM</x:v>
      </x:c>
      <x:c r="E24" s="31" t="str">
        <x:v>un</x:v>
      </x:c>
      <x:c r="F24" s="31" t="str">
        <x:v>Equifermaq - Com de Maq e Fer, Lda</x:v>
      </x:c>
      <x:c r="G24" s="33" t="n">
        <x:v>5</x:v>
      </x:c>
      <x:c r="H24" s="31" t="str">
        <x:f>IF(G24&gt;0,"Em stock","Sem stock")</x:f>
        <x:v>Em stock</x:v>
      </x:c>
    </x:row>
    <x:row r="25">
      <x:c r="A25" s="31" t="str">
        <x:v>Outras ferramentas</x:v>
      </x:c>
      <x:c r="B25" s="31" t="str">
        <x:v>5000512</x:v>
      </x:c>
      <x:c r="C25" s="31" t="str">
        <x:v>5000512</x:v>
      </x:c>
      <x:c r="D25" s="31" t="str">
        <x:v>Broca Hssm2-06,00mm-Mcf</x:v>
      </x:c>
      <x:c r="E25" s="31" t="str">
        <x:v>un</x:v>
      </x:c>
      <x:c r="F25" s="31" t="str">
        <x:v>Equifermaq - Com de Maq e Fer, Lda</x:v>
      </x:c>
      <x:c r="G25" s="33" t="n">
        <x:v>10</x:v>
      </x:c>
      <x:c r="H25" s="31" t="str">
        <x:f>IF(G25&gt;0,"Em stock","Sem stock")</x:f>
        <x:v>Em stock</x:v>
      </x:c>
    </x:row>
    <x:row r="26">
      <x:c r="A26" s="31" t="str">
        <x:v>Outras ferramentas</x:v>
      </x:c>
      <x:c r="B26" s="31" t="str">
        <x:v>Broca 06</x:v>
      </x:c>
      <x:c r="C26" s="31" t="str"/>
      <x:c r="D26" s="31" t="str">
        <x:v>Broca HSSM2-06,0mm-Mcf</x:v>
      </x:c>
      <x:c r="E26" s="31" t="str">
        <x:v>un</x:v>
      </x:c>
      <x:c r="F26" s="31" t="str"/>
      <x:c r="G26" s="33" t="n">
        <x:v>9</x:v>
      </x:c>
      <x:c r="H26" s="31" t="str">
        <x:f>IF(G26&gt;0,"Em stock","Sem stock")</x:f>
        <x:v>Em stock</x:v>
      </x:c>
    </x:row>
    <x:row r="27">
      <x:c r="A27" s="31" t="str">
        <x:v>Outras ferramentas</x:v>
      </x:c>
      <x:c r="B27" s="31" t="str">
        <x:v>5016427</x:v>
      </x:c>
      <x:c r="C27" s="31" t="str">
        <x:v>5016427</x:v>
      </x:c>
      <x:c r="D27" s="31" t="str">
        <x:v>Broca Hssm2-07,00mm-Mcf</x:v>
      </x:c>
      <x:c r="E27" s="31" t="str">
        <x:v>un</x:v>
      </x:c>
      <x:c r="F27" s="31" t="str">
        <x:v>Equifermaq - Com de Maq e Fer, Lda</x:v>
      </x:c>
      <x:c r="G27" s="33" t="n">
        <x:v>10</x:v>
      </x:c>
      <x:c r="H27" s="31" t="str">
        <x:f>IF(G27&gt;0,"Em stock","Sem stock")</x:f>
        <x:v>Em stock</x:v>
      </x:c>
    </x:row>
    <x:row r="28">
      <x:c r="A28" s="31" t="str">
        <x:v>Outras ferramentas</x:v>
      </x:c>
      <x:c r="B28" s="31" t="str">
        <x:v>Broca 07</x:v>
      </x:c>
      <x:c r="C28" s="31" t="str"/>
      <x:c r="D28" s="31" t="str">
        <x:v>Broca HSSM2-07,0mm mcf</x:v>
      </x:c>
      <x:c r="E28" s="31" t="str">
        <x:v>un</x:v>
      </x:c>
      <x:c r="F28" s="31" t="str"/>
      <x:c r="G28" s="33" t="n">
        <x:v>10</x:v>
      </x:c>
      <x:c r="H28" s="31" t="str">
        <x:f>IF(G28&gt;0,"Em stock","Sem stock")</x:f>
        <x:v>Em stock</x:v>
      </x:c>
    </x:row>
    <x:row r="29">
      <x:c r="A29" s="31" t="str">
        <x:v>Outras ferramentas</x:v>
      </x:c>
      <x:c r="B29" s="31" t="str">
        <x:v>Broca 10,50</x:v>
      </x:c>
      <x:c r="C29" s="31" t="str"/>
      <x:c r="D29" s="31" t="str">
        <x:v>Broca HSSM2-10,50mm Mcf</x:v>
      </x:c>
      <x:c r="E29" s="31" t="str">
        <x:v>un</x:v>
      </x:c>
      <x:c r="F29" s="31" t="str">
        <x:v>Equifermaq - Com de Maq e Fer, Lda</x:v>
      </x:c>
      <x:c r="G29" s="33" t="n">
        <x:v>19</x:v>
      </x:c>
      <x:c r="H29" s="31" t="str">
        <x:f>IF(G29&gt;0,"Em stock","Sem stock")</x:f>
        <x:v>Em stock</x:v>
      </x:c>
    </x:row>
    <x:row r="30">
      <x:c r="A30" s="31" t="str">
        <x:v>Outras ferramentas</x:v>
      </x:c>
      <x:c r="B30" s="31" t="str">
        <x:v>Broca 12,50</x:v>
      </x:c>
      <x:c r="C30" s="31" t="str"/>
      <x:c r="D30" s="31" t="str">
        <x:v>Broca Hssm2-12,50mm-Mcf</x:v>
      </x:c>
      <x:c r="E30" s="31" t="str">
        <x:v>un</x:v>
      </x:c>
      <x:c r="F30" s="31" t="str"/>
      <x:c r="G30" s="33" t="n">
        <x:v>9</x:v>
      </x:c>
      <x:c r="H30" s="31" t="str">
        <x:f>IF(G30&gt;0,"Em stock","Sem stock")</x:f>
        <x:v>Em stock</x:v>
      </x:c>
    </x:row>
    <x:row r="31">
      <x:c r="A31" s="31" t="str">
        <x:v>Outras ferramentas</x:v>
      </x:c>
      <x:c r="B31" s="31" t="str">
        <x:v>5004487</x:v>
      </x:c>
      <x:c r="C31" s="31" t="str">
        <x:v>5004487</x:v>
      </x:c>
      <x:c r="D31" s="31" t="str">
        <x:v>Broca Sds 6X110</x:v>
      </x:c>
      <x:c r="E31" s="31" t="str">
        <x:v>un</x:v>
      </x:c>
      <x:c r="F31" s="31" t="str">
        <x:v>SAP TMv 101</x:v>
      </x:c>
      <x:c r="G31" s="33" t="n">
        <x:v>44</x:v>
      </x:c>
      <x:c r="H31" s="31" t="str">
        <x:f>IF(G31&gt;0,"Em stock","Sem stock")</x:f>
        <x:v>Em stock</x:v>
      </x:c>
    </x:row>
    <x:row r="32">
      <x:c r="A32" s="31" t="str">
        <x:v>Outras ferramentas</x:v>
      </x:c>
      <x:c r="B32" s="31" t="str">
        <x:v>11518449</x:v>
      </x:c>
      <x:c r="C32" s="31" t="str"/>
      <x:c r="D32" s="31" t="str">
        <x:v>Broca SDS Plus Joran 6x110mm</x:v>
      </x:c>
      <x:c r="E32" s="31" t="str">
        <x:v>un</x:v>
      </x:c>
      <x:c r="F32" s="31" t="str">
        <x:v>Joao S. Azevedo, Lda</x:v>
      </x:c>
      <x:c r="G32" s="33" t="n">
        <x:v>0</x:v>
      </x:c>
      <x:c r="H32" s="31" t="str">
        <x:f>IF(G32&gt;0,"Em stock","Sem stock")</x:f>
        <x:v>Sem stock</x:v>
      </x:c>
    </x:row>
    <x:row r="33">
      <x:c r="A33" s="31" t="str">
        <x:v>Outras ferramentas</x:v>
      </x:c>
      <x:c r="B33" s="31" t="str">
        <x:v>200145</x:v>
      </x:c>
      <x:c r="C33" s="31" t="str"/>
      <x:c r="D33" s="31" t="str">
        <x:v>Ch cx Estrias-longa 1/2-30-F5497730</x:v>
      </x:c>
      <x:c r="E33" s="31" t="str">
        <x:v>un</x:v>
      </x:c>
      <x:c r="F33" s="31" t="str">
        <x:v>Equifermaq - Com de Maq e Fer, Lda</x:v>
      </x:c>
      <x:c r="G33" s="33" t="n">
        <x:v>1</x:v>
      </x:c>
      <x:c r="H33" s="31" t="str">
        <x:f>IF(G33&gt;0,"Em stock","Sem stock")</x:f>
        <x:v>Em stock</x:v>
      </x:c>
    </x:row>
    <x:row r="34">
      <x:c r="A34" s="31" t="str">
        <x:v>Outras ferramentas</x:v>
      </x:c>
      <x:c r="B34" s="31" t="str">
        <x:v>CBL-001</x:v>
      </x:c>
      <x:c r="C34" s="31" t="str"/>
      <x:c r="D34" s="31" t="str">
        <x:v>CHAVE BOCA E LUNETA EXPERT 17MM</x:v>
      </x:c>
      <x:c r="E34" s="31" t="str">
        <x:v>un</x:v>
      </x:c>
      <x:c r="F34" s="31" t="str">
        <x:v>Ferramaq</x:v>
      </x:c>
      <x:c r="G34" s="33" t="n">
        <x:v>2</x:v>
      </x:c>
      <x:c r="H34" s="31" t="str">
        <x:f>IF(G34&gt;0,"Em stock","Sem stock")</x:f>
        <x:v>Em stock</x:v>
      </x:c>
    </x:row>
    <x:row r="35">
      <x:c r="A35" s="31" t="str">
        <x:v>Outras ferramentas</x:v>
      </x:c>
      <x:c r="B35" s="31" t="str">
        <x:v>CBL-002</x:v>
      </x:c>
      <x:c r="C35" s="31" t="str"/>
      <x:c r="D35" s="31" t="str">
        <x:v>CHAVE BOCA E LUNETA EXPERT 19MM</x:v>
      </x:c>
      <x:c r="E35" s="31" t="str">
        <x:v>un</x:v>
      </x:c>
      <x:c r="F35" s="31" t="str">
        <x:v>Ferramaq</x:v>
      </x:c>
      <x:c r="G35" s="33" t="n">
        <x:v>2</x:v>
      </x:c>
      <x:c r="H35" s="31" t="str">
        <x:f>IF(G35&gt;0,"Em stock","Sem stock")</x:f>
        <x:v>Em stock</x:v>
      </x:c>
    </x:row>
    <x:row r="36">
      <x:c r="A36" s="31" t="str">
        <x:v>Outras ferramentas</x:v>
      </x:c>
      <x:c r="B36" s="31" t="str">
        <x:v>CCR-001</x:v>
      </x:c>
      <x:c r="C36" s="31" t="str"/>
      <x:c r="D36" s="31" t="str">
        <x:v>CHAVE CRESCENTE AÇO CARBON CR-V 15" 375MM</x:v>
      </x:c>
      <x:c r="E36" s="31" t="str">
        <x:v>un</x:v>
      </x:c>
      <x:c r="F36" s="31" t="str">
        <x:v>Ferramaq</x:v>
      </x:c>
      <x:c r="G36" s="33" t="n">
        <x:v>2</x:v>
      </x:c>
      <x:c r="H36" s="31" t="str">
        <x:f>IF(G36&gt;0,"Em stock","Sem stock")</x:f>
        <x:v>Em stock</x:v>
      </x:c>
    </x:row>
    <x:row r="37">
      <x:c r="A37" s="31" t="str">
        <x:v>Outras ferramentas</x:v>
      </x:c>
      <x:c r="B37" s="31" t="str">
        <x:v>CBE-001</x:v>
      </x:c>
      <x:c r="C37" s="31" t="str"/>
      <x:c r="D37" s="31" t="str">
        <x:v>CHAVE DE BOCAS EXPERT 10X11MM</x:v>
      </x:c>
      <x:c r="E37" s="31" t="str">
        <x:v>un</x:v>
      </x:c>
      <x:c r="F37" s="31" t="str">
        <x:v>Ferramaq</x:v>
      </x:c>
      <x:c r="G37" s="33" t="n">
        <x:v>1</x:v>
      </x:c>
      <x:c r="H37" s="31" t="str">
        <x:f>IF(G37&gt;0,"Em stock","Sem stock")</x:f>
        <x:v>Em stock</x:v>
      </x:c>
    </x:row>
    <x:row r="38">
      <x:c r="A38" s="31" t="str">
        <x:v>Outras ferramentas</x:v>
      </x:c>
      <x:c r="B38" s="31" t="str">
        <x:v>CB12x13</x:v>
      </x:c>
      <x:c r="C38" s="31" t="str"/>
      <x:c r="D38" s="31" t="str">
        <x:v>Chave de Bocas Expert 12x13mm</x:v>
      </x:c>
      <x:c r="E38" s="31" t="str">
        <x:v>un</x:v>
      </x:c>
      <x:c r="F38" s="31" t="str">
        <x:v>Ferramaq</x:v>
      </x:c>
      <x:c r="G38" s="33" t="n">
        <x:v>2</x:v>
      </x:c>
      <x:c r="H38" s="31" t="str">
        <x:f>IF(G38&gt;0,"Em stock","Sem stock")</x:f>
        <x:v>Em stock</x:v>
      </x:c>
    </x:row>
    <x:row r="39">
      <x:c r="A39" s="31" t="str">
        <x:v>Outras ferramentas</x:v>
      </x:c>
      <x:c r="B39" s="31" t="str">
        <x:v>CB14x15</x:v>
      </x:c>
      <x:c r="C39" s="31" t="str"/>
      <x:c r="D39" s="31" t="str">
        <x:v>Chave de Bocas Expert 14x15mm</x:v>
      </x:c>
      <x:c r="E39" s="31" t="str">
        <x:v>un</x:v>
      </x:c>
      <x:c r="F39" s="31" t="str">
        <x:v>Ferramaq</x:v>
      </x:c>
      <x:c r="G39" s="33" t="n">
        <x:v>2</x:v>
      </x:c>
      <x:c r="H39" s="31" t="str">
        <x:f>IF(G39&gt;0,"Em stock","Sem stock")</x:f>
        <x:v>Em stock</x:v>
      </x:c>
    </x:row>
    <x:row r="40">
      <x:c r="A40" s="31" t="str">
        <x:v>Outras ferramentas</x:v>
      </x:c>
      <x:c r="B40" s="31" t="str">
        <x:v>CBE-002</x:v>
      </x:c>
      <x:c r="C40" s="31" t="str"/>
      <x:c r="D40" s="31" t="str">
        <x:v>CHAVE DE BOCAS EXPERT 16X17MM</x:v>
      </x:c>
      <x:c r="E40" s="31" t="str">
        <x:v>un</x:v>
      </x:c>
      <x:c r="F40" s="31" t="str">
        <x:v>Ferramaq</x:v>
      </x:c>
      <x:c r="G40" s="33" t="n">
        <x:v>3</x:v>
      </x:c>
      <x:c r="H40" s="31" t="str">
        <x:f>IF(G40&gt;0,"Em stock","Sem stock")</x:f>
        <x:v>Em stock</x:v>
      </x:c>
    </x:row>
    <x:row r="41">
      <x:c r="A41" s="31" t="str">
        <x:v>Outras ferramentas</x:v>
      </x:c>
      <x:c r="B41" s="31" t="str">
        <x:v>CBE-003</x:v>
      </x:c>
      <x:c r="C41" s="31" t="str"/>
      <x:c r="D41" s="31" t="str">
        <x:v>CHAVE DE BOCAS EXPERT 18X19MM</x:v>
      </x:c>
      <x:c r="E41" s="31" t="str">
        <x:v>un</x:v>
      </x:c>
      <x:c r="F41" s="31" t="str">
        <x:v>Ferramaq</x:v>
      </x:c>
      <x:c r="G41" s="33" t="n">
        <x:v>2</x:v>
      </x:c>
      <x:c r="H41" s="31" t="str">
        <x:f>IF(G41&gt;0,"Em stock","Sem stock")</x:f>
        <x:v>Em stock</x:v>
      </x:c>
    </x:row>
    <x:row r="42">
      <x:c r="A42" s="31" t="str">
        <x:v>Outras ferramentas</x:v>
      </x:c>
      <x:c r="B42" s="31" t="str">
        <x:v>CB20x22</x:v>
      </x:c>
      <x:c r="C42" s="31" t="str"/>
      <x:c r="D42" s="31" t="str">
        <x:v>Chave de Bocas Expert 20x22mm</x:v>
      </x:c>
      <x:c r="E42" s="31" t="str">
        <x:v>un</x:v>
      </x:c>
      <x:c r="F42" s="31" t="str">
        <x:v>Ferramaq</x:v>
      </x:c>
      <x:c r="G42" s="33" t="n">
        <x:v>2</x:v>
      </x:c>
      <x:c r="H42" s="31" t="str">
        <x:f>IF(G42&gt;0,"Em stock","Sem stock")</x:f>
        <x:v>Em stock</x:v>
      </x:c>
    </x:row>
    <x:row r="43">
      <x:c r="A43" s="31" t="str">
        <x:v>Outras ferramentas</x:v>
      </x:c>
      <x:c r="B43" s="31" t="str">
        <x:v>CBE-005</x:v>
      </x:c>
      <x:c r="C43" s="31" t="str"/>
      <x:c r="D43" s="31" t="str">
        <x:v>CHAVE DE BOCAS EXPERT 24X26MM</x:v>
      </x:c>
      <x:c r="E43" s="31" t="str">
        <x:v>un</x:v>
      </x:c>
      <x:c r="F43" s="31" t="str">
        <x:v>Ferramaq</x:v>
      </x:c>
      <x:c r="G43" s="33" t="n">
        <x:v>3</x:v>
      </x:c>
      <x:c r="H43" s="31" t="str">
        <x:f>IF(G43&gt;0,"Em stock","Sem stock")</x:f>
        <x:v>Em stock</x:v>
      </x:c>
    </x:row>
    <x:row r="44">
      <x:c r="A44" s="31" t="str">
        <x:v>Outras ferramentas</x:v>
      </x:c>
      <x:c r="B44" s="31" t="str">
        <x:v>CB25x28</x:v>
      </x:c>
      <x:c r="C44" s="31" t="str"/>
      <x:c r="D44" s="31" t="str">
        <x:v>Chave de Bocas Expert 25x28mm</x:v>
      </x:c>
      <x:c r="E44" s="31" t="str">
        <x:v>un</x:v>
      </x:c>
      <x:c r="F44" s="31" t="str">
        <x:v>Ferramaq</x:v>
      </x:c>
      <x:c r="G44" s="33" t="n">
        <x:v>1</x:v>
      </x:c>
      <x:c r="H44" s="31" t="str">
        <x:f>IF(G44&gt;0,"Em stock","Sem stock")</x:f>
        <x:v>Em stock</x:v>
      </x:c>
    </x:row>
    <x:row r="45">
      <x:c r="A45" s="31" t="str">
        <x:v>Outras ferramentas</x:v>
      </x:c>
      <x:c r="B45" s="31" t="str">
        <x:v>CBE-007</x:v>
      </x:c>
      <x:c r="C45" s="31" t="str"/>
      <x:c r="D45" s="31" t="str">
        <x:v>CHAVE DE BOCAS EXPERT 27X29MM</x:v>
      </x:c>
      <x:c r="E45" s="31" t="str">
        <x:v>un</x:v>
      </x:c>
      <x:c r="F45" s="31" t="str">
        <x:v>Ferramaq</x:v>
      </x:c>
      <x:c r="G45" s="33" t="n">
        <x:v>3</x:v>
      </x:c>
      <x:c r="H45" s="31" t="str">
        <x:f>IF(G45&gt;0,"Em stock","Sem stock")</x:f>
        <x:v>Em stock</x:v>
      </x:c>
    </x:row>
    <x:row r="46">
      <x:c r="A46" s="31" t="str">
        <x:v>Outras ferramentas</x:v>
      </x:c>
      <x:c r="B46" s="31" t="str">
        <x:v>CB30x32</x:v>
      </x:c>
      <x:c r="C46" s="31" t="str"/>
      <x:c r="D46" s="31" t="str">
        <x:v>Chave de Bocas Expert 30x32mm</x:v>
      </x:c>
      <x:c r="E46" s="31" t="str">
        <x:v>un</x:v>
      </x:c>
      <x:c r="F46" s="31" t="str">
        <x:v>Ferramaq</x:v>
      </x:c>
      <x:c r="G46" s="33" t="n">
        <x:v>3</x:v>
      </x:c>
      <x:c r="H46" s="31" t="str">
        <x:f>IF(G46&gt;0,"Em stock","Sem stock")</x:f>
        <x:v>Em stock</x:v>
      </x:c>
    </x:row>
    <x:row r="47">
      <x:c r="A47" s="31" t="str">
        <x:v>Outras ferramentas</x:v>
      </x:c>
      <x:c r="B47" s="31" t="str">
        <x:v>203003</x:v>
      </x:c>
      <x:c r="C47" s="31" t="str"/>
      <x:c r="D47" s="31" t="str">
        <x:v>Chave luneta 10x11</x:v>
      </x:c>
      <x:c r="E47" s="31" t="str">
        <x:v>un</x:v>
      </x:c>
      <x:c r="F47" s="31" t="str">
        <x:v>Equifermaq - Com de Maq e Fer, Lda</x:v>
      </x:c>
      <x:c r="G47" s="33" t="n">
        <x:v>2</x:v>
      </x:c>
      <x:c r="H47" s="31" t="str">
        <x:f>IF(G47&gt;0,"Em stock","Sem stock")</x:f>
        <x:v>Em stock</x:v>
      </x:c>
    </x:row>
    <x:row r="48">
      <x:c r="A48" s="31" t="str">
        <x:v>Outras ferramentas</x:v>
      </x:c>
      <x:c r="B48" s="31" t="str">
        <x:v>48061</x:v>
      </x:c>
      <x:c r="C48" s="31" t="str"/>
      <x:c r="D48" s="31" t="str">
        <x:v>Chave luneta 12x13</x:v>
      </x:c>
      <x:c r="E48" s="31" t="str">
        <x:v>un</x:v>
      </x:c>
      <x:c r="F48" s="31" t="str">
        <x:v>Equifermaq - Com de Maq e Fer, Lda</x:v>
      </x:c>
      <x:c r="G48" s="33" t="n">
        <x:v>2</x:v>
      </x:c>
      <x:c r="H48" s="31" t="str">
        <x:f>IF(G48&gt;0,"Em stock","Sem stock")</x:f>
        <x:v>Em stock</x:v>
      </x:c>
    </x:row>
    <x:row r="49">
      <x:c r="A49" s="31" t="str">
        <x:v>Outras ferramentas</x:v>
      </x:c>
      <x:c r="B49" s="31" t="str">
        <x:v>203005</x:v>
      </x:c>
      <x:c r="C49" s="31" t="str"/>
      <x:c r="D49" s="31" t="str">
        <x:v>Chave luneta 14x15</x:v>
      </x:c>
      <x:c r="E49" s="31" t="str">
        <x:v>un</x:v>
      </x:c>
      <x:c r="F49" s="31" t="str">
        <x:v>Equifermaq - Com de Maq e Fer, Lda</x:v>
      </x:c>
      <x:c r="G49" s="33" t="n">
        <x:v>4</x:v>
      </x:c>
      <x:c r="H49" s="31" t="str">
        <x:f>IF(G49&gt;0,"Em stock","Sem stock")</x:f>
        <x:v>Em stock</x:v>
      </x:c>
    </x:row>
    <x:row r="50">
      <x:c r="A50" s="31" t="str">
        <x:v>Outras ferramentas</x:v>
      </x:c>
      <x:c r="B50" s="31" t="str">
        <x:v>151024</x:v>
      </x:c>
      <x:c r="C50" s="31" t="str"/>
      <x:c r="D50" s="31" t="str">
        <x:v>Chave luneta 16x17</x:v>
      </x:c>
      <x:c r="E50" s="31" t="str">
        <x:v>un</x:v>
      </x:c>
      <x:c r="F50" s="31" t="str">
        <x:v>Equifermaq - Com de Maq e Fer, Lda</x:v>
      </x:c>
      <x:c r="G50" s="33" t="n">
        <x:v>4</x:v>
      </x:c>
      <x:c r="H50" s="31" t="str">
        <x:f>IF(G50&gt;0,"Em stock","Sem stock")</x:f>
        <x:v>Em stock</x:v>
      </x:c>
    </x:row>
    <x:row r="51">
      <x:c r="A51" s="31" t="str">
        <x:v>Outras ferramentas</x:v>
      </x:c>
      <x:c r="B51" s="31" t="str">
        <x:v>203007</x:v>
      </x:c>
      <x:c r="C51" s="31" t="str"/>
      <x:c r="D51" s="31" t="str">
        <x:v>Chave luneta 18x19</x:v>
      </x:c>
      <x:c r="E51" s="31" t="str">
        <x:v>un</x:v>
      </x:c>
      <x:c r="F51" s="31" t="str">
        <x:v>Equifermaq - Com de Maq e Fer, Lda</x:v>
      </x:c>
      <x:c r="G51" s="33" t="n">
        <x:v>2</x:v>
      </x:c>
      <x:c r="H51" s="31" t="str">
        <x:f>IF(G51&gt;0,"Em stock","Sem stock")</x:f>
        <x:v>Em stock</x:v>
      </x:c>
    </x:row>
    <x:row r="52">
      <x:c r="A52" s="31" t="str">
        <x:v>Outras ferramentas</x:v>
      </x:c>
      <x:c r="B52" s="31" t="str">
        <x:v>203008</x:v>
      </x:c>
      <x:c r="C52" s="31" t="str"/>
      <x:c r="D52" s="31" t="str">
        <x:v>Chave luneta 20x22</x:v>
      </x:c>
      <x:c r="E52" s="31" t="str">
        <x:v>un</x:v>
      </x:c>
      <x:c r="F52" s="31" t="str">
        <x:v>Equifermaq - Com de Maq e Fer, Lda</x:v>
      </x:c>
      <x:c r="G52" s="33" t="n">
        <x:v>3</x:v>
      </x:c>
      <x:c r="H52" s="31" t="str">
        <x:f>IF(G52&gt;0,"Em stock","Sem stock")</x:f>
        <x:v>Em stock</x:v>
      </x:c>
    </x:row>
    <x:row r="53">
      <x:c r="A53" s="31" t="str">
        <x:v>Outras ferramentas</x:v>
      </x:c>
      <x:c r="B53" s="31" t="str">
        <x:v>109047</x:v>
      </x:c>
      <x:c r="C53" s="31" t="str"/>
      <x:c r="D53" s="31" t="str">
        <x:v>Chave luneta 24x26</x:v>
      </x:c>
      <x:c r="E53" s="31" t="str">
        <x:v>un</x:v>
      </x:c>
      <x:c r="F53" s="31" t="str">
        <x:v>Equifermaq - Com de Maq e Fer, Lda</x:v>
      </x:c>
      <x:c r="G53" s="33" t="n">
        <x:v>3</x:v>
      </x:c>
      <x:c r="H53" s="31" t="str">
        <x:f>IF(G53&gt;0,"Em stock","Sem stock")</x:f>
        <x:v>Em stock</x:v>
      </x:c>
    </x:row>
    <x:row r="54">
      <x:c r="A54" s="31" t="str">
        <x:v>Outras ferramentas</x:v>
      </x:c>
      <x:c r="B54" s="31" t="str">
        <x:v>4013681</x:v>
      </x:c>
      <x:c r="C54" s="31" t="str">
        <x:v>4013681</x:v>
      </x:c>
      <x:c r="D54" s="31" t="str">
        <x:v>CHAVE PONTOS IE26</x:v>
      </x:c>
      <x:c r="E54" s="31" t="str">
        <x:v>un</x:v>
      </x:c>
      <x:c r="F54" s="31" t="str">
        <x:v>Joao S. Azevedo, Lda</x:v>
      </x:c>
      <x:c r="G54" s="33" t="n">
        <x:v>0</x:v>
      </x:c>
      <x:c r="H54" s="31" t="str">
        <x:f>IF(G54&gt;0,"Em stock","Sem stock")</x:f>
        <x:v>Sem stock</x:v>
      </x:c>
    </x:row>
    <x:row r="55">
      <x:c r="A55" s="31" t="str">
        <x:v>Outras ferramentas</x:v>
      </x:c>
      <x:c r="B55" s="31" t="str">
        <x:v>CT19</x:v>
      </x:c>
      <x:c r="C55" s="31" t="str"/>
      <x:c r="D55" s="31" t="str">
        <x:v>Chave Tubular Curva 12 PT/6T 19mm</x:v>
      </x:c>
      <x:c r="E55" s="31" t="str">
        <x:v>un</x:v>
      </x:c>
      <x:c r="F55" s="31" t="str">
        <x:v>Ferramaq</x:v>
      </x:c>
      <x:c r="G55" s="33" t="n">
        <x:v>1</x:v>
      </x:c>
      <x:c r="H55" s="31" t="str">
        <x:f>IF(G55&gt;0,"Em stock","Sem stock")</x:f>
        <x:v>Em stock</x:v>
      </x:c>
    </x:row>
    <x:row r="56">
      <x:c r="A56" s="31" t="str">
        <x:v>Outras ferramentas</x:v>
      </x:c>
      <x:c r="B56" s="31" t="str">
        <x:v>4019688</x:v>
      </x:c>
      <x:c r="C56" s="31" t="str">
        <x:v>4019688</x:v>
      </x:c>
      <x:c r="D56" s="31" t="str">
        <x:v>Chave Universal</x:v>
      </x:c>
      <x:c r="E56" s="31" t="str">
        <x:v>un</x:v>
      </x:c>
      <x:c r="F56" s="31" t="str">
        <x:v>Joao S. Azevedo, Lda</x:v>
      </x:c>
      <x:c r="G56" s="33" t="n">
        <x:v>18</x:v>
      </x:c>
      <x:c r="H56" s="31" t="str">
        <x:f>IF(G56&gt;0,"Em stock","Sem stock")</x:f>
        <x:v>Em stock</x:v>
      </x:c>
    </x:row>
    <x:row r="57">
      <x:c r="A57" s="31" t="str">
        <x:v>Outras ferramentas</x:v>
      </x:c>
      <x:c r="B57" s="31" t="str">
        <x:v>5003982</x:v>
      </x:c>
      <x:c r="C57" s="31" t="str">
        <x:v>5003982</x:v>
      </x:c>
      <x:c r="D57" s="31" t="str">
        <x:v>CINTA CARGA C/ROQ. MACFER GANCHO ""J</x:v>
      </x:c>
      <x:c r="E57" s="31" t="str">
        <x:v>un</x:v>
      </x:c>
      <x:c r="F57" s="31" t="str">
        <x:v>Joao S. Azevedo, Lda</x:v>
      </x:c>
      <x:c r="G57" s="33" t="n">
        <x:v>0</x:v>
      </x:c>
      <x:c r="H57" s="31" t="str">
        <x:f>IF(G57&gt;0,"Em stock","Sem stock")</x:f>
        <x:v>Sem stock</x:v>
      </x:c>
    </x:row>
    <x:row r="58">
      <x:c r="A58" s="31" t="str">
        <x:v>Outras ferramentas</x:v>
      </x:c>
      <x:c r="B58" s="31" t="str">
        <x:v>480073</x:v>
      </x:c>
      <x:c r="C58" s="31" t="str"/>
      <x:c r="D58" s="31" t="str">
        <x:v>Cone Morse Encabadouro nº4 B-16</x:v>
      </x:c>
      <x:c r="E58" s="31" t="str">
        <x:v>un</x:v>
      </x:c>
      <x:c r="F58" s="31" t="str">
        <x:v>Equifermaq - Com de Maq e Fer, Lda</x:v>
      </x:c>
      <x:c r="G58" s="33" t="n">
        <x:v>1</x:v>
      </x:c>
      <x:c r="H58" s="31" t="str">
        <x:f>IF(G58&gt;0,"Em stock","Sem stock")</x:f>
        <x:v>Em stock</x:v>
      </x:c>
    </x:row>
    <x:row r="59">
      <x:c r="A59" s="31" t="str">
        <x:v>Outras ferramentas</x:v>
      </x:c>
      <x:c r="B59" s="31" t="str">
        <x:v>5005589</x:v>
      </x:c>
      <x:c r="C59" s="31" t="str">
        <x:v>5005589</x:v>
      </x:c>
      <x:c r="D59" s="31" t="str">
        <x:v>CONE MORSE ENCABADOURO Nº4-B16</x:v>
      </x:c>
      <x:c r="E59" s="31" t="str">
        <x:v>un</x:v>
      </x:c>
      <x:c r="F59" s="31" t="str">
        <x:v>Equifermaq - Com de Maq e Fer, Lda</x:v>
      </x:c>
      <x:c r="G59" s="33" t="n">
        <x:v>1</x:v>
      </x:c>
      <x:c r="H59" s="31" t="str">
        <x:f>IF(G59&gt;0,"Em stock","Sem stock")</x:f>
        <x:v>Em stock</x:v>
      </x:c>
    </x:row>
    <x:row r="60">
      <x:c r="A60" s="31" t="str">
        <x:v>Outras ferramentas</x:v>
      </x:c>
      <x:c r="B60" s="31" t="str">
        <x:v>CR18</x:v>
      </x:c>
      <x:c r="C60" s="31" t="str"/>
      <x:c r="D60" s="31" t="str">
        <x:v>Corte Rebites Cr-Mo 18''</x:v>
      </x:c>
      <x:c r="E60" s="31" t="str">
        <x:v>un</x:v>
      </x:c>
      <x:c r="F60" s="31" t="str">
        <x:v>Ferramaq</x:v>
      </x:c>
      <x:c r="G60" s="33" t="n">
        <x:v>1</x:v>
      </x:c>
      <x:c r="H60" s="31" t="str">
        <x:f>IF(G60&gt;0,"Em stock","Sem stock")</x:f>
        <x:v>Em stock</x:v>
      </x:c>
    </x:row>
    <x:row r="61">
      <x:c r="A61" s="31" t="str">
        <x:v>Outras ferramentas</x:v>
      </x:c>
      <x:c r="B61" s="31" t="str">
        <x:v>CR42</x:v>
      </x:c>
      <x:c r="C61" s="31" t="str"/>
      <x:c r="D61" s="31" t="str">
        <x:v>Corte Rebites Cr-Mo 42''</x:v>
      </x:c>
      <x:c r="E61" s="31" t="str">
        <x:v>un</x:v>
      </x:c>
      <x:c r="F61" s="31" t="str">
        <x:v>Ferramaq</x:v>
      </x:c>
      <x:c r="G61" s="33" t="n">
        <x:v>1</x:v>
      </x:c>
      <x:c r="H61" s="31" t="str">
        <x:f>IF(G61&gt;0,"Em stock","Sem stock")</x:f>
        <x:v>Em stock</x:v>
      </x:c>
    </x:row>
    <x:row r="62">
      <x:c r="A62" s="31" t="str">
        <x:v>Outras ferramentas</x:v>
      </x:c>
      <x:c r="B62" s="31" t="str">
        <x:v>DESBOB-01</x:v>
      </x:c>
      <x:c r="C62" s="31" t="str"/>
      <x:c r="D62" s="31" t="str">
        <x:v>Desbobinador</x:v>
      </x:c>
      <x:c r="E62" s="31" t="str">
        <x:v>un</x:v>
      </x:c>
      <x:c r="F62" s="31" t="str"/>
      <x:c r="G62" s="33" t="n">
        <x:v>0</x:v>
      </x:c>
      <x:c r="H62" s="31" t="str">
        <x:f>IF(G62&gt;0,"Em stock","Sem stock")</x:f>
        <x:v>Sem stock</x:v>
      </x:c>
    </x:row>
    <x:row r="63">
      <x:c r="A63" s="31" t="str">
        <x:v>Outras ferramentas</x:v>
      </x:c>
      <x:c r="B63" s="31" t="str">
        <x:v>5004611</x:v>
      </x:c>
      <x:c r="C63" s="31" t="str">
        <x:v>5004611</x:v>
      </x:c>
      <x:c r="D63" s="31" t="str">
        <x:v>Descarnador cabo 101307</x:v>
      </x:c>
      <x:c r="E63" s="31" t="str">
        <x:v>un</x:v>
      </x:c>
      <x:c r="F63" s="31" t="str">
        <x:v>Equifermaq - Com de Maq e Fer, Lda</x:v>
      </x:c>
      <x:c r="G63" s="33" t="n">
        <x:v>6</x:v>
      </x:c>
      <x:c r="H63" s="31" t="str">
        <x:f>IF(G63&gt;0,"Em stock","Sem stock")</x:f>
        <x:v>Em stock</x:v>
      </x:c>
    </x:row>
    <x:row r="64">
      <x:c r="A64" s="31" t="str">
        <x:v>Outras ferramentas</x:v>
      </x:c>
      <x:c r="B64" s="31" t="str">
        <x:v>10137</x:v>
      </x:c>
      <x:c r="C64" s="31" t="str"/>
      <x:c r="D64" s="31" t="str">
        <x:v>Descarnador cabo 101307/Athlet</x:v>
      </x:c>
      <x:c r="E64" s="31" t="str">
        <x:v>un</x:v>
      </x:c>
      <x:c r="F64" s="31" t="str">
        <x:v>Equifermaq - Com de Maq e Fer, Lda</x:v>
      </x:c>
      <x:c r="G64" s="33" t="n">
        <x:v>6</x:v>
      </x:c>
      <x:c r="H64" s="31" t="str">
        <x:f>IF(G64&gt;0,"Em stock","Sem stock")</x:f>
        <x:v>Em stock</x:v>
      </x:c>
    </x:row>
    <x:row r="65">
      <x:c r="A65" s="31" t="str">
        <x:v>Outras ferramentas</x:v>
      </x:c>
      <x:c r="B65" s="31" t="str">
        <x:v>Engenho</x:v>
      </x:c>
      <x:c r="C65" s="31" t="str"/>
      <x:c r="D65" s="31" t="str">
        <x:v>Engenho de Furar Coluna Optidrill DQ25LT</x:v>
      </x:c>
      <x:c r="E65" s="31" t="str">
        <x:v>un</x:v>
      </x:c>
      <x:c r="F65" s="31" t="str"/>
      <x:c r="G65" s="33" t="n">
        <x:v>1</x:v>
      </x:c>
      <x:c r="H65" s="31" t="str">
        <x:f>IF(G65&gt;0,"Em stock","Sem stock")</x:f>
        <x:v>Em stock</x:v>
      </x:c>
    </x:row>
    <x:row r="66">
      <x:c r="A66" s="31" t="str">
        <x:v>Outras ferramentas</x:v>
      </x:c>
      <x:c r="B66" s="31" t="str">
        <x:v>ESC-001</x:v>
      </x:c>
      <x:c r="C66" s="31" t="str"/>
      <x:c r="D66" s="31" t="str">
        <x:v>ESCORPO C/ PUNHO DE PROTEÇÃO 16X300MM</x:v>
      </x:c>
      <x:c r="E66" s="31" t="str">
        <x:v>un</x:v>
      </x:c>
      <x:c r="F66" s="31" t="str">
        <x:v>Ferramaq</x:v>
      </x:c>
      <x:c r="G66" s="33" t="n">
        <x:v>1</x:v>
      </x:c>
      <x:c r="H66" s="31" t="str">
        <x:f>IF(G66&gt;0,"Em stock","Sem stock")</x:f>
        <x:v>Em stock</x:v>
      </x:c>
    </x:row>
    <x:row r="67">
      <x:c r="A67" s="31" t="str">
        <x:v>Outras ferramentas</x:v>
      </x:c>
      <x:c r="B67" s="31" t="str">
        <x:v>ESM-001</x:v>
      </x:c>
      <x:c r="C67" s="31" t="str"/>
      <x:c r="D67" s="31" t="str">
        <x:v>ESMERILADORA SANDY 117-125MM</x:v>
      </x:c>
      <x:c r="E67" s="31" t="str">
        <x:v>un</x:v>
      </x:c>
      <x:c r="F67" s="31" t="str">
        <x:v>Ferramaq</x:v>
      </x:c>
      <x:c r="G67" s="33" t="n">
        <x:v>1</x:v>
      </x:c>
      <x:c r="H67" s="31" t="str">
        <x:f>IF(G67&gt;0,"Em stock","Sem stock")</x:f>
        <x:v>Em stock</x:v>
      </x:c>
    </x:row>
    <x:row r="68">
      <x:c r="A68" s="31" t="str">
        <x:v>Outras ferramentas</x:v>
      </x:c>
      <x:c r="B68" s="31" t="str">
        <x:v>291162</x:v>
      </x:c>
      <x:c r="C68" s="31" t="str"/>
      <x:c r="D68" s="31" t="str">
        <x:v>Extensão 25 m com enrolador 3G1,5</x:v>
      </x:c>
      <x:c r="E68" s="31" t="str">
        <x:v>un</x:v>
      </x:c>
      <x:c r="F68" s="31" t="str">
        <x:v>Equifermaq - Com de Maq e Fer, Lda</x:v>
      </x:c>
      <x:c r="G68" s="33" t="n">
        <x:v>2</x:v>
      </x:c>
      <x:c r="H68" s="31" t="str">
        <x:f>IF(G68&gt;0,"Em stock","Sem stock")</x:f>
        <x:v>Em stock</x:v>
      </x:c>
    </x:row>
    <x:row r="69">
      <x:c r="A69" s="31" t="str">
        <x:v>Outras ferramentas</x:v>
      </x:c>
      <x:c r="B69" s="31" t="str">
        <x:v>238967</x:v>
      </x:c>
      <x:c r="C69" s="31" t="str"/>
      <x:c r="D69" s="31" t="str">
        <x:v>Extensao 3S c/int.3G1,5-3mts</x:v>
      </x:c>
      <x:c r="E69" s="31" t="str">
        <x:v>un</x:v>
      </x:c>
      <x:c r="F69" s="31" t="str">
        <x:v>Equifermaq - Com de Maq e Fer, Lda</x:v>
      </x:c>
      <x:c r="G69" s="33" t="n">
        <x:v>6</x:v>
      </x:c>
      <x:c r="H69" s="31" t="str">
        <x:f>IF(G69&gt;0,"Em stock","Sem stock")</x:f>
        <x:v>Em stock</x:v>
      </x:c>
    </x:row>
    <x:row r="70">
      <x:c r="A70" s="31" t="str">
        <x:v>Outras ferramentas</x:v>
      </x:c>
      <x:c r="B70" s="31" t="str">
        <x:v>282681</x:v>
      </x:c>
      <x:c r="C70" s="31" t="str"/>
      <x:c r="D70" s="31" t="str">
        <x:v>Extensao 3S c/int.3G1,5-5mts</x:v>
      </x:c>
      <x:c r="E70" s="31" t="str">
        <x:v>un</x:v>
      </x:c>
      <x:c r="F70" s="31" t="str">
        <x:v>Equifermaq - Com de Maq e Fer, Lda</x:v>
      </x:c>
      <x:c r="G70" s="33" t="n">
        <x:v>3</x:v>
      </x:c>
      <x:c r="H70" s="31" t="str">
        <x:f>IF(G70&gt;0,"Em stock","Sem stock")</x:f>
        <x:v>Em stock</x:v>
      </x:c>
    </x:row>
    <x:row r="71">
      <x:c r="A71" s="31" t="str">
        <x:v>Outras ferramentas</x:v>
      </x:c>
      <x:c r="B71" s="31" t="str">
        <x:v>281800</x:v>
      </x:c>
      <x:c r="C71" s="31" t="str"/>
      <x:c r="D71" s="31" t="str">
        <x:v>Extensao 6S c/int.3G1,5-3mts</x:v>
      </x:c>
      <x:c r="E71" s="31" t="str">
        <x:v>un</x:v>
      </x:c>
      <x:c r="F71" s="31" t="str">
        <x:v>Equifermaq - Com de Maq e Fer, Lda</x:v>
      </x:c>
      <x:c r="G71" s="33" t="n">
        <x:v>6</x:v>
      </x:c>
      <x:c r="H71" s="31" t="str">
        <x:f>IF(G71&gt;0,"Em stock","Sem stock")</x:f>
        <x:v>Em stock</x:v>
      </x:c>
    </x:row>
    <x:row r="72">
      <x:c r="A72" s="31" t="str">
        <x:v>Outras ferramentas</x:v>
      </x:c>
      <x:c r="B72" s="31" t="str">
        <x:v>5004696</x:v>
      </x:c>
      <x:c r="C72" s="31" t="str">
        <x:v>5004696</x:v>
      </x:c>
      <x:c r="D72" s="31" t="str">
        <x:v>FACA ALCATIFA PROF. MET. C/TRAVAO</x:v>
      </x:c>
      <x:c r="E72" s="31" t="str">
        <x:v>un</x:v>
      </x:c>
      <x:c r="F72" s="31" t="str">
        <x:v>Joao S. Azevedo, Lda</x:v>
      </x:c>
      <x:c r="G72" s="33" t="n">
        <x:v>11</x:v>
      </x:c>
      <x:c r="H72" s="31" t="str">
        <x:f>IF(G72&gt;0,"Em stock","Sem stock")</x:f>
        <x:v>Em stock</x:v>
      </x:c>
    </x:row>
    <x:row r="73">
      <x:c r="A73" s="31" t="str">
        <x:v>Outras ferramentas</x:v>
      </x:c>
      <x:c r="B73" s="31" t="str">
        <x:v>4001935</x:v>
      </x:c>
      <x:c r="C73" s="31" t="str">
        <x:v>4001935</x:v>
      </x:c>
      <x:c r="D73" s="31" t="str">
        <x:v>FECHADURA CAIXA CORREIO MACFER LM603</x:v>
      </x:c>
      <x:c r="E73" s="31" t="str">
        <x:v>un</x:v>
      </x:c>
      <x:c r="F73" s="31" t="str">
        <x:v>Joao S. Azevedo, Lda</x:v>
      </x:c>
      <x:c r="G73" s="33" t="n">
        <x:v>0</x:v>
      </x:c>
      <x:c r="H73" s="31" t="str">
        <x:f>IF(G73&gt;0,"Em stock","Sem stock")</x:f>
        <x:v>Sem stock</x:v>
      </x:c>
    </x:row>
    <x:row r="74">
      <x:c r="A74" s="31" t="str">
        <x:v>Outras ferramentas</x:v>
      </x:c>
      <x:c r="B74" s="31" t="str">
        <x:v>FIT-001</x:v>
      </x:c>
      <x:c r="C74" s="31" t="str"/>
      <x:c r="D74" s="31" t="str">
        <x:v>FITA MÉTRICA STANLEY 5 MT TYLON</x:v>
      </x:c>
      <x:c r="E74" s="31" t="str">
        <x:v>un</x:v>
      </x:c>
      <x:c r="F74" s="31" t="str">
        <x:v>Ferramaq</x:v>
      </x:c>
      <x:c r="G74" s="33" t="n">
        <x:v>2</x:v>
      </x:c>
      <x:c r="H74" s="31" t="str">
        <x:f>IF(G74&gt;0,"Em stock","Sem stock")</x:f>
        <x:v>Em stock</x:v>
      </x:c>
    </x:row>
    <x:row r="75">
      <x:c r="A75" s="31" t="str">
        <x:v>Outras ferramentas</x:v>
      </x:c>
      <x:c r="B75" s="31" t="str">
        <x:v>800622</x:v>
      </x:c>
      <x:c r="C75" s="31" t="str"/>
      <x:c r="D75" s="31" t="str">
        <x:v>Fita Serra M42 1735x13x0,9-6/10-Wikus</x:v>
      </x:c>
      <x:c r="E75" s="31" t="str">
        <x:v>un</x:v>
      </x:c>
      <x:c r="F75" s="31" t="str">
        <x:v>Equifermaq - Com de Maq e Fer, Lda</x:v>
      </x:c>
      <x:c r="G75" s="33" t="n">
        <x:v>2</x:v>
      </x:c>
      <x:c r="H75" s="31" t="str">
        <x:f>IF(G75&gt;0,"Em stock","Sem stock")</x:f>
        <x:v>Em stock</x:v>
      </x:c>
    </x:row>
    <x:row r="76">
      <x:c r="A76" s="31" t="str">
        <x:v>Outras ferramentas</x:v>
      </x:c>
      <x:c r="B76" s="31" t="str">
        <x:v>1067</x:v>
      </x:c>
      <x:c r="C76" s="31" t="str"/>
      <x:c r="D76" s="31" t="str">
        <x:v>Fresa para postes</x:v>
      </x:c>
      <x:c r="E76" s="31" t="str">
        <x:v>un</x:v>
      </x:c>
      <x:c r="F76" s="31" t="str">
        <x:v>Domingos da Silva Teixeira, S.A.</x:v>
      </x:c>
      <x:c r="G76" s="33" t="n">
        <x:v>1</x:v>
      </x:c>
      <x:c r="H76" s="31" t="str">
        <x:f>IF(G76&gt;0,"Em stock","Sem stock")</x:f>
        <x:v>Em stock</x:v>
      </x:c>
    </x:row>
    <x:row r="77">
      <x:c r="A77" s="31" t="str">
        <x:v>Outras ferramentas</x:v>
      </x:c>
      <x:c r="B77" s="31" t="str">
        <x:v>1038</x:v>
      </x:c>
      <x:c r="C77" s="31" t="str"/>
      <x:c r="D77" s="31" t="str">
        <x:v>Gerador EU 30 IS</x:v>
      </x:c>
      <x:c r="E77" s="31" t="str">
        <x:v>un</x:v>
      </x:c>
      <x:c r="F77" s="31" t="str">
        <x:v>Domingos da Silva Teixeira, S.A.</x:v>
      </x:c>
      <x:c r="G77" s="33" t="n">
        <x:v>1</x:v>
      </x:c>
      <x:c r="H77" s="31" t="str">
        <x:f>IF(G77&gt;0,"Em stock","Sem stock")</x:f>
        <x:v>Em stock</x:v>
      </x:c>
    </x:row>
    <x:row r="78">
      <x:c r="A78" s="31" t="str">
        <x:v>Outras ferramentas</x:v>
      </x:c>
      <x:c r="B78" s="31" t="str">
        <x:v>142736</x:v>
      </x:c>
      <x:c r="C78" s="31" t="str"/>
      <x:c r="D78" s="31" t="str">
        <x:v>Jogo chave caixa 26 peças 1/2</x:v>
      </x:c>
      <x:c r="E78" s="31" t="str">
        <x:v>un</x:v>
      </x:c>
      <x:c r="F78" s="31" t="str">
        <x:v>Equifermaq - Com de Maq e Fer, Lda</x:v>
      </x:c>
      <x:c r="G78" s="33" t="n">
        <x:v>1</x:v>
      </x:c>
      <x:c r="H78" s="31" t="str">
        <x:f>IF(G78&gt;0,"Em stock","Sem stock")</x:f>
        <x:v>Em stock</x:v>
      </x:c>
    </x:row>
    <x:row r="79">
      <x:c r="A79" s="31" t="str">
        <x:v>Outras ferramentas</x:v>
      </x:c>
      <x:c r="B79" s="31" t="str">
        <x:v>2811121</x:v>
      </x:c>
      <x:c r="C79" s="31" t="str"/>
      <x:c r="D79" s="31" t="str">
        <x:v>Jogo chave de fenda 8 peças</x:v>
      </x:c>
      <x:c r="E79" s="31" t="str">
        <x:v>un</x:v>
      </x:c>
      <x:c r="F79" s="31" t="str">
        <x:v>Equifermaq - Com de Maq e Fer, Lda</x:v>
      </x:c>
      <x:c r="G79" s="33" t="n">
        <x:v>2</x:v>
      </x:c>
      <x:c r="H79" s="31" t="str">
        <x:f>IF(G79&gt;0,"Em stock","Sem stock")</x:f>
        <x:v>Em stock</x:v>
      </x:c>
    </x:row>
    <x:row r="80">
      <x:c r="A80" s="31" t="str">
        <x:v>Outras ferramentas</x:v>
      </x:c>
      <x:c r="B80" s="31" t="str">
        <x:v>2403724</x:v>
      </x:c>
      <x:c r="C80" s="31" t="str"/>
      <x:c r="D80" s="31" t="str">
        <x:v>KIT TE 500-AVR</x:v>
      </x:c>
      <x:c r="E80" s="31" t="str">
        <x:v>un</x:v>
      </x:c>
      <x:c r="F80" s="31" t="str"/>
      <x:c r="G80" s="33" t="n">
        <x:v>0</x:v>
      </x:c>
      <x:c r="H80" s="31" t="str">
        <x:f>IF(G80&gt;0,"Em stock","Sem stock")</x:f>
        <x:v>Sem stock</x:v>
      </x:c>
    </x:row>
    <x:row r="81">
      <x:c r="A81" s="31" t="str">
        <x:v>Outras ferramentas</x:v>
      </x:c>
      <x:c r="B81" s="31" t="str">
        <x:v>125033</x:v>
      </x:c>
      <x:c r="C81" s="31" t="str"/>
      <x:c r="D81" s="31" t="str">
        <x:v>Lima paralela 10"</x:v>
      </x:c>
      <x:c r="E81" s="31" t="str">
        <x:v>un</x:v>
      </x:c>
      <x:c r="F81" s="31" t="str">
        <x:v>Equifermaq - Com de Maq e Fer, Lda</x:v>
      </x:c>
      <x:c r="G81" s="33" t="n">
        <x:v>2</x:v>
      </x:c>
      <x:c r="H81" s="31" t="str">
        <x:f>IF(G81&gt;0,"Em stock","Sem stock")</x:f>
        <x:v>Em stock</x:v>
      </x:c>
    </x:row>
    <x:row r="82">
      <x:c r="A82" s="31" t="str">
        <x:v>Outras ferramentas</x:v>
      </x:c>
      <x:c r="B82" s="31" t="str">
        <x:v>2302322</x:v>
      </x:c>
      <x:c r="C82" s="31" t="str"/>
      <x:c r="D82" s="31" t="str">
        <x:v>Maçarico C-306 ACET./90-480</x:v>
      </x:c>
      <x:c r="E82" s="31" t="str">
        <x:v>un</x:v>
      </x:c>
      <x:c r="F82" s="31" t="str">
        <x:v>Nippon Gases Portugal, Unip Lda</x:v>
      </x:c>
      <x:c r="G82" s="33" t="n">
        <x:v>1</x:v>
      </x:c>
      <x:c r="H82" s="31" t="str">
        <x:f>IF(G82&gt;0,"Em stock","Sem stock")</x:f>
        <x:v>Em stock</x:v>
      </x:c>
    </x:row>
    <x:row r="83">
      <x:c r="A83" s="31" t="str">
        <x:v>Outras ferramentas</x:v>
      </x:c>
      <x:c r="B83" s="31" t="str">
        <x:v>MAC-001</x:v>
      </x:c>
      <x:c r="C83" s="31" t="str"/>
      <x:c r="D83" s="31" t="str">
        <x:v>MACETA CABO DE MADEIRA 1KG</x:v>
      </x:c>
      <x:c r="E83" s="31" t="str">
        <x:v>un</x:v>
      </x:c>
      <x:c r="F83" s="31" t="str">
        <x:v>Ferramaq</x:v>
      </x:c>
      <x:c r="G83" s="33" t="n">
        <x:v>1</x:v>
      </x:c>
      <x:c r="H83" s="31" t="str">
        <x:f>IF(G83&gt;0,"Em stock","Sem stock")</x:f>
        <x:v>Em stock</x:v>
      </x:c>
    </x:row>
    <x:row r="84">
      <x:c r="A84" s="31" t="str">
        <x:v>Outras ferramentas</x:v>
      </x:c>
      <x:c r="B84" s="31" t="str">
        <x:v>557A</x:v>
      </x:c>
      <x:c r="C84" s="31" t="str">
        <x:v>75173042</x:v>
      </x:c>
      <x:c r="D84" s="31" t="str">
        <x:v>MANÍPULO PARA COMANDO MANUAL DOS SECCIONADORES [Chave quadrada]</x:v>
      </x:c>
      <x:c r="E84" s="31" t="str">
        <x:v>un</x:v>
      </x:c>
      <x:c r="F84" s="31" t="str"/>
      <x:c r="G84" s="33" t="n">
        <x:v>0</x:v>
      </x:c>
      <x:c r="H84" s="31" t="str">
        <x:f>IF(G84&gt;0,"Em stock","Sem stock")</x:f>
        <x:v>Sem stock</x:v>
      </x:c>
    </x:row>
    <x:row r="85">
      <x:c r="A85" s="31" t="str">
        <x:v>Outras ferramentas</x:v>
      </x:c>
      <x:c r="B85" s="31" t="str">
        <x:v>557B</x:v>
      </x:c>
      <x:c r="C85" s="31" t="str">
        <x:v>75173040</x:v>
      </x:c>
      <x:c r="D85" s="31" t="str">
        <x:v>MANÍPULO PARA COMANDO MANUAL DOS SECCIONADORES [Chave triangular]</x:v>
      </x:c>
      <x:c r="E85" s="31" t="str">
        <x:v>un</x:v>
      </x:c>
      <x:c r="F85" s="31" t="str"/>
      <x:c r="G85" s="33" t="n">
        <x:v>0</x:v>
      </x:c>
      <x:c r="H85" s="31" t="str">
        <x:f>IF(G85&gt;0,"Em stock","Sem stock")</x:f>
        <x:v>Sem stock</x:v>
      </x:c>
    </x:row>
    <x:row r="86">
      <x:c r="A86" s="31" t="str">
        <x:v>Outras ferramentas</x:v>
      </x:c>
      <x:c r="B86" s="31" t="str">
        <x:v>MARRETA</x:v>
      </x:c>
      <x:c r="C86" s="31" t="str"/>
      <x:c r="D86" s="31" t="str">
        <x:v>MARRETA 4KG</x:v>
      </x:c>
      <x:c r="E86" s="31" t="str">
        <x:v>un</x:v>
      </x:c>
      <x:c r="F86" s="31" t="str"/>
      <x:c r="G86" s="33" t="n">
        <x:v>1</x:v>
      </x:c>
      <x:c r="H86" s="31" t="str">
        <x:f>IF(G86&gt;0,"Em stock","Sem stock")</x:f>
        <x:v>Em stock</x:v>
      </x:c>
    </x:row>
    <x:row r="87">
      <x:c r="A87" s="31" t="str">
        <x:v>Outras ferramentas</x:v>
      </x:c>
      <x:c r="B87" s="31" t="str">
        <x:v>5003593</x:v>
      </x:c>
      <x:c r="C87" s="31" t="str">
        <x:v>5003593</x:v>
      </x:c>
      <x:c r="D87" s="31" t="str">
        <x:v>MARRETA CABO FIBRA MACFER 4 KG</x:v>
      </x:c>
      <x:c r="E87" s="31" t="str">
        <x:v>un</x:v>
      </x:c>
      <x:c r="F87" s="31" t="str">
        <x:v>Joao S. Azevedo, Lda</x:v>
      </x:c>
      <x:c r="G87" s="33" t="n">
        <x:v>0</x:v>
      </x:c>
      <x:c r="H87" s="31" t="str">
        <x:f>IF(G87&gt;0,"Em stock","Sem stock")</x:f>
        <x:v>Sem stock</x:v>
      </x:c>
    </x:row>
    <x:row r="88">
      <x:c r="A88" s="31" t="str">
        <x:v>Outras ferramentas</x:v>
      </x:c>
      <x:c r="B88" s="31" t="str">
        <x:v>MAR-001</x:v>
      </x:c>
      <x:c r="C88" s="31" t="str"/>
      <x:c r="D88" s="31" t="str">
        <x:v>MARTELO BOLA 910GR (32OZ)</x:v>
      </x:c>
      <x:c r="E88" s="31" t="str">
        <x:v>un</x:v>
      </x:c>
      <x:c r="F88" s="31" t="str">
        <x:v>Ferramaq</x:v>
      </x:c>
      <x:c r="G88" s="33" t="n">
        <x:v>2</x:v>
      </x:c>
      <x:c r="H88" s="31" t="str">
        <x:f>IF(G88&gt;0,"Em stock","Sem stock")</x:f>
        <x:v>Em stock</x:v>
      </x:c>
    </x:row>
    <x:row r="89">
      <x:c r="A89" s="31" t="str">
        <x:v>Outras ferramentas</x:v>
      </x:c>
      <x:c r="B89" s="31" t="str">
        <x:v>MAR-002</x:v>
      </x:c>
      <x:c r="C89" s="31" t="str"/>
      <x:c r="D89" s="31" t="str">
        <x:v>MARTELO CABEÇA PLASTICO 4X35</x:v>
      </x:c>
      <x:c r="E89" s="31" t="str">
        <x:v>un</x:v>
      </x:c>
      <x:c r="F89" s="31" t="str">
        <x:v>Ferramaq</x:v>
      </x:c>
      <x:c r="G89" s="33" t="n">
        <x:v>2</x:v>
      </x:c>
      <x:c r="H89" s="31" t="str">
        <x:f>IF(G89&gt;0,"Em stock","Sem stock")</x:f>
        <x:v>Em stock</x:v>
      </x:c>
    </x:row>
    <x:row r="90">
      <x:c r="A90" s="31" t="str">
        <x:v>Outras ferramentas</x:v>
      </x:c>
      <x:c r="B90" s="31" t="str">
        <x:v>2253057</x:v>
      </x:c>
      <x:c r="C90" s="31" t="str"/>
      <x:c r="D90" s="31" t="str">
        <x:v>Martelo Perfurador Bateria TE 0000464738</x:v>
      </x:c>
      <x:c r="E90" s="31" t="str">
        <x:v>un</x:v>
      </x:c>
      <x:c r="F90" s="31" t="str"/>
      <x:c r="G90" s="33" t="n">
        <x:v>0</x:v>
      </x:c>
      <x:c r="H90" s="31" t="str">
        <x:f>IF(G90&gt;0,"Em stock","Sem stock")</x:f>
        <x:v>Sem stock</x:v>
      </x:c>
    </x:row>
    <x:row r="91">
      <x:c r="A91" s="31" t="str">
        <x:v>Outras ferramentas</x:v>
      </x:c>
      <x:c r="B91" s="31" t="str">
        <x:v>5000627</x:v>
      </x:c>
      <x:c r="C91" s="31" t="str">
        <x:v>5000627</x:v>
      </x:c>
      <x:c r="D91" s="31" t="str">
        <x:v>Martelo t/americano HMC32-mcf</x:v>
      </x:c>
      <x:c r="E91" s="31" t="str">
        <x:v>un</x:v>
      </x:c>
      <x:c r="F91" s="31" t="str">
        <x:v>Equifermaq - Com de Maq e Fer, Lda</x:v>
      </x:c>
      <x:c r="G91" s="33" t="n">
        <x:v>1</x:v>
      </x:c>
      <x:c r="H91" s="31" t="str">
        <x:f>IF(G91&gt;0,"Em stock","Sem stock")</x:f>
        <x:v>Em stock</x:v>
      </x:c>
    </x:row>
    <x:row r="92">
      <x:c r="A92" s="31" t="str">
        <x:v>Outras ferramentas</x:v>
      </x:c>
      <x:c r="B92" s="31" t="str">
        <x:v>712058</x:v>
      </x:c>
      <x:c r="C92" s="31" t="str"/>
      <x:c r="D92" s="31" t="str">
        <x:v>Máscara de soldar automática</x:v>
      </x:c>
      <x:c r="E92" s="31" t="str">
        <x:v>un</x:v>
      </x:c>
      <x:c r="F92" s="31" t="str">
        <x:v>Equifermaq - Com de Maq e Fer, Lda</x:v>
      </x:c>
      <x:c r="G92" s="33" t="n">
        <x:v>1</x:v>
      </x:c>
      <x:c r="H92" s="31" t="str">
        <x:f>IF(G92&gt;0,"Em stock","Sem stock")</x:f>
        <x:v>Em stock</x:v>
      </x:c>
    </x:row>
    <x:row r="93">
      <x:c r="A93" s="31" t="str">
        <x:v>Outras ferramentas</x:v>
      </x:c>
      <x:c r="B93" s="31" t="str">
        <x:v>4037906</x:v>
      </x:c>
      <x:c r="C93" s="31" t="str">
        <x:v>4037906</x:v>
      </x:c>
      <x:c r="D93" s="31" t="str">
        <x:v>MOLDES KLK CHAVE ""PL-LH" 30x3,5 LSVIP</x:v>
      </x:c>
      <x:c r="E93" s="31" t="str">
        <x:v>un</x:v>
      </x:c>
      <x:c r="F93" s="31" t="str">
        <x:v>Jobasi - Aces. Elect. e Bronzes, SA</x:v>
      </x:c>
      <x:c r="G93" s="33" t="n">
        <x:v>38</x:v>
      </x:c>
      <x:c r="H93" s="31" t="str">
        <x:f>IF(G93&gt;0,"Em stock","Sem stock")</x:f>
        <x:v>Em stock</x:v>
      </x:c>
    </x:row>
    <x:row r="94">
      <x:c r="A94" s="31" t="str">
        <x:v>Outras ferramentas</x:v>
      </x:c>
      <x:c r="B94" s="31" t="str">
        <x:v>100040</x:v>
      </x:c>
      <x:c r="C94" s="31" t="str"/>
      <x:c r="D94" s="31" t="str">
        <x:v>Nível alumínio EPT2003B – 40 cm</x:v>
      </x:c>
      <x:c r="E94" s="31" t="str">
        <x:v>un</x:v>
      </x:c>
      <x:c r="F94" s="31" t="str">
        <x:v>Equifermaq - Com de Maq e Fer, Lda</x:v>
      </x:c>
      <x:c r="G94" s="33" t="n">
        <x:v>2</x:v>
      </x:c>
      <x:c r="H94" s="31" t="str">
        <x:f>IF(G94&gt;0,"Em stock","Sem stock")</x:f>
        <x:v>Em stock</x:v>
      </x:c>
    </x:row>
    <x:row r="95">
      <x:c r="A95" s="31" t="str">
        <x:v>Outras ferramentas</x:v>
      </x:c>
      <x:c r="B95" s="31" t="str">
        <x:v>5003918</x:v>
      </x:c>
      <x:c r="C95" s="31" t="str">
        <x:v>5003918</x:v>
      </x:c>
      <x:c r="D95" s="31" t="str">
        <x:v>NIVEL KAPRO GENESIS 781 1 MT</x:v>
      </x:c>
      <x:c r="E95" s="31" t="str">
        <x:v>un</x:v>
      </x:c>
      <x:c r="F95" s="31" t="str">
        <x:v>Joao S. Azevedo, Lda</x:v>
      </x:c>
      <x:c r="G95" s="33" t="n">
        <x:v>0</x:v>
      </x:c>
      <x:c r="H95" s="31" t="str">
        <x:f>IF(G95&gt;0,"Em stock","Sem stock")</x:f>
        <x:v>Sem stock</x:v>
      </x:c>
    </x:row>
    <x:row r="96">
      <x:c r="A96" s="31" t="str">
        <x:v>Outras ferramentas</x:v>
      </x:c>
      <x:c r="B96" s="31" t="str">
        <x:v>480659</x:v>
      </x:c>
      <x:c r="C96" s="31" t="str"/>
      <x:c r="D96" s="31" t="str">
        <x:v>Osca / Martelo cobre 1 kg</x:v>
      </x:c>
      <x:c r="E96" s="31" t="str">
        <x:v>un</x:v>
      </x:c>
      <x:c r="F96" s="31" t="str">
        <x:v>Equifermaq - Com de Maq e Fer, Lda</x:v>
      </x:c>
      <x:c r="G96" s="33" t="n">
        <x:v>1</x:v>
      </x:c>
      <x:c r="H96" s="31" t="str">
        <x:f>IF(G96&gt;0,"Em stock","Sem stock")</x:f>
        <x:v>Em stock</x:v>
      </x:c>
    </x:row>
    <x:row r="97">
      <x:c r="A97" s="31" t="str">
        <x:v>Outras ferramentas</x:v>
      </x:c>
      <x:c r="B97" s="31" t="str">
        <x:v>2201060</x:v>
      </x:c>
      <x:c r="C97" s="31" t="str"/>
      <x:c r="D97" s="31" t="str">
        <x:v>Paquimetro Analogico</x:v>
      </x:c>
      <x:c r="E97" s="31" t="str">
        <x:v>un</x:v>
      </x:c>
      <x:c r="F97" s="31" t="str">
        <x:v>Joao S. Azevedo, Lda</x:v>
      </x:c>
      <x:c r="G97" s="33" t="n">
        <x:v>0</x:v>
      </x:c>
      <x:c r="H97" s="31" t="str">
        <x:f>IF(G97&gt;0,"Em stock","Sem stock")</x:f>
        <x:v>Sem stock</x:v>
      </x:c>
    </x:row>
    <x:row r="98">
      <x:c r="A98" s="31" t="str">
        <x:v>Outras ferramentas</x:v>
      </x:c>
      <x:c r="B98" s="31" t="str">
        <x:v>5001894</x:v>
      </x:c>
      <x:c r="C98" s="31" t="str">
        <x:v>5001894</x:v>
      </x:c>
      <x:c r="D98" s="31" t="str">
        <x:v>PAQUIMETRO ANALOGICO MACFER</x:v>
      </x:c>
      <x:c r="E98" s="31" t="str">
        <x:v>un</x:v>
      </x:c>
      <x:c r="F98" s="31" t="str">
        <x:v>Joao S. Azevedo, Lda</x:v>
      </x:c>
      <x:c r="G98" s="33" t="n">
        <x:v>0</x:v>
      </x:c>
      <x:c r="H98" s="31" t="str">
        <x:f>IF(G98&gt;0,"Em stock","Sem stock")</x:f>
        <x:v>Sem stock</x:v>
      </x:c>
    </x:row>
    <x:row r="99">
      <x:c r="A99" s="31" t="str">
        <x:v>Outras ferramentas</x:v>
      </x:c>
      <x:c r="B99" s="31" t="str">
        <x:v>PON-001</x:v>
      </x:c>
      <x:c r="C99" s="31" t="str"/>
      <x:c r="D99" s="31" t="str">
        <x:v>PONTEIRO C/ PUNHO DE PROTEÇÃO 300MM</x:v>
      </x:c>
      <x:c r="E99" s="31" t="str">
        <x:v>un</x:v>
      </x:c>
      <x:c r="F99" s="31" t="str">
        <x:v>Ferramaq</x:v>
      </x:c>
      <x:c r="G99" s="33" t="n">
        <x:v>1</x:v>
      </x:c>
      <x:c r="H99" s="31" t="str">
        <x:f>IF(G99&gt;0,"Em stock","Sem stock")</x:f>
        <x:v>Em stock</x:v>
      </x:c>
    </x:row>
    <x:row r="100">
      <x:c r="A100" s="31" t="str">
        <x:v>Outras ferramentas</x:v>
      </x:c>
      <x:c r="B100" s="31" t="str">
        <x:v>109554</x:v>
      </x:c>
      <x:c r="C100" s="31" t="str"/>
      <x:c r="D100" s="31" t="str">
        <x:v>Pulverizador Sady 2,0 lt-DS3708</x:v>
      </x:c>
      <x:c r="E100" s="31" t="str">
        <x:v>un</x:v>
      </x:c>
      <x:c r="F100" s="31" t="str">
        <x:v>Equifermaq - Com de Maq e Fer, Lda</x:v>
      </x:c>
      <x:c r="G100" s="33" t="n">
        <x:v>1</x:v>
      </x:c>
      <x:c r="H100" s="31" t="str">
        <x:f>IF(G100&gt;0,"Em stock","Sem stock")</x:f>
        <x:v>Em stock</x:v>
      </x:c>
    </x:row>
    <x:row r="101">
      <x:c r="A101" s="31" t="str">
        <x:v>Outras ferramentas</x:v>
      </x:c>
      <x:c r="B101" s="31" t="str">
        <x:v>5014977</x:v>
      </x:c>
      <x:c r="C101" s="31" t="str">
        <x:v>5014977</x:v>
      </x:c>
      <x:c r="D101" s="31" t="str">
        <x:v>Pulverizador Sady 2,0lt-DS3708</x:v>
      </x:c>
      <x:c r="E101" s="31" t="str">
        <x:v>un</x:v>
      </x:c>
      <x:c r="F101" s="31" t="str">
        <x:v>Equifermaq - Com de Maq e Fer, Lda</x:v>
      </x:c>
      <x:c r="G101" s="33" t="n">
        <x:v>1</x:v>
      </x:c>
      <x:c r="H101" s="31" t="str">
        <x:f>IF(G101&gt;0,"Em stock","Sem stock")</x:f>
        <x:v>Em stock</x:v>
      </x:c>
    </x:row>
    <x:row r="102">
      <x:c r="A102" s="31" t="str">
        <x:v>Outras ferramentas</x:v>
      </x:c>
      <x:c r="B102" s="31" t="str">
        <x:v>800634</x:v>
      </x:c>
      <x:c r="C102" s="31" t="str"/>
      <x:c r="D102" s="31" t="str">
        <x:v>Sady Extensao 3S 3G1,5-3mts</x:v>
      </x:c>
      <x:c r="E102" s="31" t="str">
        <x:v>un</x:v>
      </x:c>
      <x:c r="F102" s="31" t="str">
        <x:v>Equifermaq - Com de Maq e Fer, Lda</x:v>
      </x:c>
      <x:c r="G102" s="33" t="n">
        <x:v>3</x:v>
      </x:c>
      <x:c r="H102" s="31" t="str">
        <x:f>IF(G102&gt;0,"Em stock","Sem stock")</x:f>
        <x:v>Em stock</x:v>
      </x:c>
    </x:row>
    <x:row r="103">
      <x:c r="A103" s="31" t="str">
        <x:v>Outras ferramentas</x:v>
      </x:c>
      <x:c r="B103" s="31" t="str">
        <x:v>818410</x:v>
      </x:c>
      <x:c r="C103" s="31" t="str"/>
      <x:c r="D103" s="31" t="str">
        <x:v>SDS Plus broca 3500-06x110</x:v>
      </x:c>
      <x:c r="E103" s="31" t="str">
        <x:v>un</x:v>
      </x:c>
      <x:c r="F103" s="31" t="str">
        <x:v>Equifermaq - Com de Maq e Fer, Lda</x:v>
      </x:c>
      <x:c r="G103" s="33" t="n">
        <x:v>20</x:v>
      </x:c>
      <x:c r="H103" s="31" t="str">
        <x:f>IF(G103&gt;0,"Em stock","Sem stock")</x:f>
        <x:v>Em stock</x:v>
      </x:c>
    </x:row>
    <x:row r="104">
      <x:c r="A104" s="31" t="str">
        <x:v>Outras ferramentas</x:v>
      </x:c>
      <x:c r="B104" s="31" t="str">
        <x:v>261045</x:v>
      </x:c>
      <x:c r="C104" s="31" t="str"/>
      <x:c r="D104" s="31" t="str">
        <x:v>Serrote Fita Optisaw S150G Vario 230v</x:v>
      </x:c>
      <x:c r="E104" s="31" t="str">
        <x:v>un</x:v>
      </x:c>
      <x:c r="F104" s="31" t="str">
        <x:v>Equifermaq - Com de Maq e Fer, Lda</x:v>
      </x:c>
      <x:c r="G104" s="33" t="n">
        <x:v>1</x:v>
      </x:c>
      <x:c r="H104" s="31" t="str">
        <x:f>IF(G104&gt;0,"Em stock","Sem stock")</x:f>
        <x:v>Em stock</x:v>
      </x:c>
    </x:row>
    <x:row r="105">
      <x:c r="A105" s="31" t="str">
        <x:v>Outras ferramentas</x:v>
      </x:c>
      <x:c r="B105" s="31" t="str">
        <x:v>312038</x:v>
      </x:c>
      <x:c r="C105" s="31" t="str"/>
      <x:c r="D105" s="31" t="str">
        <x:v>Soldador inverter RSD200X Nutool</x:v>
      </x:c>
      <x:c r="E105" s="31" t="str">
        <x:v>un</x:v>
      </x:c>
      <x:c r="F105" s="31" t="str">
        <x:v>Equifermaq - Com de Maq e Fer, Lda</x:v>
      </x:c>
      <x:c r="G105" s="33" t="n">
        <x:v>1</x:v>
      </x:c>
      <x:c r="H105" s="31" t="str">
        <x:f>IF(G105&gt;0,"Em stock","Sem stock")</x:f>
        <x:v>Em stock</x:v>
      </x:c>
    </x:row>
    <x:row r="106">
      <x:c r="A106" s="31" t="str">
        <x:v>Outras ferramentas</x:v>
      </x:c>
      <x:c r="B106" s="31" t="str">
        <x:v>TD1001</x:v>
      </x:c>
      <x:c r="C106" s="31" t="str"/>
      <x:c r="D106" s="31" t="str">
        <x:v>Tesoura c/ Cabo 24'' TD 1001</x:v>
      </x:c>
      <x:c r="E106" s="31" t="str">
        <x:v>un</x:v>
      </x:c>
      <x:c r="F106" s="31" t="str">
        <x:v>Ferramaq</x:v>
      </x:c>
      <x:c r="G106" s="33" t="n">
        <x:v>2</x:v>
      </x:c>
      <x:c r="H106" s="31" t="str">
        <x:f>IF(G106&gt;0,"Em stock","Sem stock")</x:f>
        <x:v>Em stock</x:v>
      </x:c>
    </x:row>
    <x:row r="107">
      <x:c r="A107" s="31" t="str">
        <x:v>Outras ferramentas</x:v>
      </x:c>
      <x:c r="B107" s="31" t="str">
        <x:v>4015731</x:v>
      </x:c>
      <x:c r="C107" s="31" t="str">
        <x:v>4015731</x:v>
      </x:c>
      <x:c r="D107" s="31" t="str">
        <x:v>Tesoura Corta Corta Tubos Mlcp 16-32</x:v>
      </x:c>
      <x:c r="E107" s="31" t="str">
        <x:v>un</x:v>
      </x:c>
      <x:c r="F107" s="31" t="str">
        <x:v>SAP TMv 101</x:v>
      </x:c>
      <x:c r="G107" s="33" t="n">
        <x:v>2</x:v>
      </x:c>
      <x:c r="H107" s="31" t="str">
        <x:f>IF(G107&gt;0,"Em stock","Sem stock")</x:f>
        <x:v>Em stock</x:v>
      </x:c>
    </x:row>
    <x:row r="108">
      <x:c r="A108" s="31" t="str">
        <x:v>Outras ferramentas</x:v>
      </x:c>
      <x:c r="B108" s="31" t="str">
        <x:v>TES-001</x:v>
      </x:c>
      <x:c r="C108" s="31" t="str"/>
      <x:c r="D108" s="31" t="str">
        <x:v>TESOURA CORTAR CHAPA CORTE RETO MILWAUKEE</x:v>
      </x:c>
      <x:c r="E108" s="31" t="str">
        <x:v>un</x:v>
      </x:c>
      <x:c r="F108" s="31" t="str">
        <x:v>Ferramaq</x:v>
      </x:c>
      <x:c r="G108" s="33" t="n">
        <x:v>1</x:v>
      </x:c>
      <x:c r="H108" s="31" t="str">
        <x:f>IF(G108&gt;0,"Em stock","Sem stock")</x:f>
        <x:v>Em stock</x:v>
      </x:c>
    </x:row>
    <x:row r="109">
      <x:c r="A109" s="31" t="str">
        <x:v>Outras ferramentas</x:v>
      </x:c>
      <x:c r="B109" s="31" t="str">
        <x:v>2205263</x:v>
      </x:c>
      <x:c r="C109" s="31" t="str"/>
      <x:c r="D109" s="31" t="str">
        <x:v>Tesoura Costura Batil 6</x:v>
      </x:c>
      <x:c r="E109" s="31" t="str">
        <x:v>un</x:v>
      </x:c>
      <x:c r="F109" s="31" t="str"/>
      <x:c r="G109" s="33" t="n">
        <x:v>0</x:v>
      </x:c>
      <x:c r="H109" s="31" t="str">
        <x:f>IF(G109&gt;0,"Em stock","Sem stock")</x:f>
        <x:v>Sem stock</x:v>
      </x:c>
    </x:row>
    <x:row r="110">
      <x:c r="A110" s="31" t="str">
        <x:v>Outras ferramentas</x:v>
      </x:c>
      <x:c r="B110" s="31" t="str">
        <x:v>TORN-001</x:v>
      </x:c>
      <x:c r="C110" s="31" t="str"/>
      <x:c r="D110" s="31" t="str">
        <x:v>TORNO BASE FIXA 150MM 6"</x:v>
      </x:c>
      <x:c r="E110" s="31" t="str">
        <x:v>un</x:v>
      </x:c>
      <x:c r="F110" s="31" t="str">
        <x:v>Ferramaq</x:v>
      </x:c>
      <x:c r="G110" s="33" t="n">
        <x:v>1</x:v>
      </x:c>
      <x:c r="H110" s="31" t="str">
        <x:f>IF(G110&gt;0,"Em stock","Sem stock")</x:f>
        <x:v>Em stock</x:v>
      </x:c>
    </x:row>
    <x:row r="111">
      <x:c r="A111" s="31" t="str">
        <x:v>Outras ferramentas</x:v>
      </x:c>
      <x:c r="B111" s="31" t="str">
        <x:v>TUR-001</x:v>
      </x:c>
      <x:c r="C111" s="31" t="str"/>
      <x:c r="D111" s="31" t="str">
        <x:v>TURQUÊS ARMEIRO CR-V 220MM MAC</x:v>
      </x:c>
      <x:c r="E111" s="31" t="str">
        <x:v>un</x:v>
      </x:c>
      <x:c r="F111" s="31" t="str">
        <x:v>Ferramaq</x:v>
      </x:c>
      <x:c r="G111" s="33" t="n">
        <x:v>2</x:v>
      </x:c>
      <x:c r="H111" s="31" t="str">
        <x:f>IF(G111&gt;0,"Em stock","Sem stock")</x:f>
        <x:v>Em stock</x:v>
      </x:c>
    </x:row>
  </x:sheetData>
  <x:mergeCells>
    <x:mergeCell ref="A1:H1"/>
    <x:mergeCell ref="A2:H2"/>
  </x:mergeCells>
  <x:conditionalFormatting sqref="H5:H111">
    <x:cfRule type="containsText" dxfId="6" priority="1" operator="containsText" text="Em stock"/>
    <x:cfRule type="containsText" dxfId="7" priority="2" operator="containsText" text="Sem stock"/>
  </x:conditionalFormatting>
  <x:pageMargins left="0.7" right="0.7" top="0.75" bottom="0.75" header="0.3" footer="0.3"/>
  <x:tableParts count="1">
    <x:tablePart xmlns:r="http://schemas.openxmlformats.org/officeDocument/2006/relationships" r:id="Reccf8d7dc5614119"/>
  </x:tableParts>
</x:worksheet>
</file>