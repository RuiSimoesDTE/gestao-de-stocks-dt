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756bdf84f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257040a26ff44f5"/>
    <x:sheet xmlns:r="http://schemas.openxmlformats.org/officeDocument/2006/relationships" name="Materiais" sheetId="2" r:id="R181cf22d31d34181"/>
    <x:sheet xmlns:r="http://schemas.openxmlformats.org/officeDocument/2006/relationships" name="Guias" sheetId="3" r:id="R5adc0eb7040d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-yyyy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C2D12"/>
      <x:name val="Carlito"/>
    </x:font>
    <x:font>
      <x:i/>
      <x:sz val="11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E8F0"/>
      </x:patternFill>
    </x:fill>
    <x:fill>
      <x:patternFill patternType="solid">
        <x:fgColor rgb="FFF59E0B"/>
      </x:patternFill>
    </x:fill>
    <x:fill>
      <x:patternFill patternType="solid">
        <x:fgColor rgb="FFFFF7E6"/>
      </x:patternFill>
    </x:fill>
    <x:fill>
      <x:patternFill patternType="solid">
        <x:fgColor rgb="FFF1F5F9"/>
      </x:patternFill>
    </x:fill>
  </x:fills>
  <x:borders count="2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  <x:bottom style="double">
        <x:color rgb="FF64748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double">
        <x:color rgb="FF64748B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4" fillId="5" borderId="1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5" fillId="7" borderId="16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201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2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/>
    <x:xf numFmtId="201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25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201" fontId="0" fillId="0" borderId="21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200" fontId="0" fillId="0" borderId="22" xfId="0" applyNumberFormat="1" applyFont="1" applyFill="1" applyBorder="1" applyAlignment="1">
      <x:alignment horizontal="center" vertical="top"/>
    </x:xf>
    <x:xf numFmtId="0" fontId="0" fillId="0" borderId="22" xfId="0" applyNumberFormat="1" applyFont="1" applyFill="1" applyBorder="1" applyAlignment="1">
      <x:alignment horizontal="center" vertical="top"/>
    </x:xf>
    <x:xf numFmtId="0" fontId="0" fillId="0" borderId="23" xfId="0" applyNumberFormat="1" applyFont="1" applyFill="1" applyBorder="1" applyAlignment="1">
      <x:alignment vertical="top"/>
    </x:xf>
    <x:xf numFmtId="201" fontId="0" fillId="0" borderId="24" xfId="0" applyNumberFormat="1" applyFont="1" applyFill="1" applyBorder="1" applyAlignment="1">
      <x:alignment vertical="top"/>
    </x:xf>
    <x:xf numFmtId="0" fontId="0" fillId="0" borderId="25" xfId="0" applyNumberFormat="1" applyFont="1" applyFill="1" applyBorder="1" applyAlignment="1">
      <x:alignment vertical="top"/>
    </x:xf>
    <x:xf numFmtId="200" fontId="0" fillId="0" borderId="25" xfId="0" applyNumberFormat="1" applyFont="1" applyFill="1" applyBorder="1" applyAlignment="1">
      <x:alignment horizontal="center" vertical="top"/>
    </x:xf>
    <x:xf numFmtId="0" fontId="0" fillId="0" borderId="25" xfId="0" applyNumberFormat="1" applyFont="1" applyFill="1" applyBorder="1" applyAlignment="1">
      <x:alignment horizontal="center" vertical="top"/>
    </x:xf>
    <x:xf numFmtId="0" fontId="0" fillId="0" borderId="26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/>
    <x:xf numFmtId="201" fontId="0" fillId="0" borderId="22" xfId="0" applyNumberFormat="1" applyFont="1" applyFill="1" applyBorder="1"/>
    <x:xf numFmtId="200" fontId="0" fillId="0" borderId="22" xfId="0" applyNumberFormat="1" applyFont="1" applyFill="1" applyBorder="1"/>
    <x:xf numFmtId="0" fontId="0" fillId="0" borderId="24" xfId="0" applyNumberFormat="1" applyFont="1" applyFill="1" applyBorder="1"/>
    <x:xf numFmtId="201" fontId="0" fillId="0" borderId="25" xfId="0" applyNumberFormat="1" applyFont="1" applyFill="1" applyBorder="1"/>
    <x:xf numFmtId="200" fontId="0" fillId="0" borderId="25" xfId="0" applyNumberFormat="1" applyFont="1" applyFill="1" applyBorder="1"/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d581501c24437" /><Relationship Type="http://schemas.openxmlformats.org/officeDocument/2006/relationships/theme" Target="/xl/theme/theme1.xml" Id="Rc125aae633214259" /><Relationship Type="http://schemas.openxmlformats.org/officeDocument/2006/relationships/sharedStrings" Target="/xl/sharedStrings.xml" Id="R4a4f25476c394b0d" /><Relationship Type="http://schemas.openxmlformats.org/officeDocument/2006/relationships/worksheet" Target="/xl/worksheets/sheet1.xml" Id="R0257040a26ff44f5" /><Relationship Type="http://schemas.openxmlformats.org/officeDocument/2006/relationships/worksheet" Target="/xl/worksheets/sheet2.xml" Id="R181cf22d31d34181" /><Relationship Type="http://schemas.openxmlformats.org/officeDocument/2006/relationships/worksheet" Target="/xl/worksheets/sheet3.xml" Id="R5adc0eb7040d4e05" /></Relationships>
</file>

<file path=xl/tables/table1.xml><?xml version="1.0" encoding="utf-8"?>
<x:table xmlns:x="http://schemas.openxmlformats.org/spreadsheetml/2006/main" id="1" name="MateriaisTransferidos" displayName="MateriaisTransferidos" ref="A1:J12" headerRowCount="1" totalsRowCount="0" totalsRowShown="0">
  <x:tableColumns count="10">
    <x:tableColumn id="1" name="Data"/>
    <x:tableColumn id="2" name="Guia"/>
    <x:tableColumn id="3" name="Destino"/>
    <x:tableColumn id="4" name="Material"/>
    <x:tableColumn id="5" name="Quantidade"/>
    <x:tableColumn id="6" name="Unidade"/>
    <x:tableColumn id="7" name="Origem (guia)"/>
    <x:tableColumn id="8" name="Destino (guia)"/>
    <x:tableColumn id="9" name="Ficheiro de origem"/>
    <x:tableColumn id="10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asSelecionadas" displayName="GuiasSelecionadas" ref="A1:G6" headerRowCount="1" totalsRowCount="0" totalsRowShown="0">
  <x:tableColumns count="7">
    <x:tableColumn id="1" name="Guia"/>
    <x:tableColumn id="2" name="Data"/>
    <x:tableColumn id="3" name="Destino classificado"/>
    <x:tableColumn id="4" name="Local de descarga (guia)"/>
    <x:tableColumn id="5" name="Linhas de material"/>
    <x:tableColumn id="6" name="Ficheiro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74c1e6770a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908b61d7b845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Transferências DAI Coruche → Coimbra e Pampilhosa</x:v>
      </x:c>
      <x:c r="B1" s="3"/>
      <x:c r="C1" s="3"/>
      <x:c r="D1" s="3"/>
      <x:c r="E1" s="3"/>
      <x:c r="F1" s="3"/>
    </x:row>
    <x:row r="2" ht="22" customHeight="1">
      <x:c r="A2" s="6" t="str">
        <x:v>Consolidação das guias de transporte fornecidas | atualização: 12-08-2026</x:v>
      </x:c>
      <x:c r="B2" s="6"/>
      <x:c r="C2" s="6"/>
      <x:c r="D2" s="6"/>
      <x:c r="E2" s="6"/>
      <x:c r="F2" s="6"/>
    </x:row>
    <x:row r="4">
      <x:c r="A4" s="9" t="str">
        <x:v>Destino</x:v>
      </x:c>
      <x:c r="B4" s="9" t="str">
        <x:v>N.º de guias</x:v>
      </x:c>
      <x:c r="C4" s="9" t="str">
        <x:v>Quantidade total (und)</x:v>
      </x:c>
    </x:row>
    <x:row r="5">
      <x:c r="A5" s="10" t="str">
        <x:v>Coimbra</x:v>
      </x:c>
      <x:c r="B5" s="27" t="n">
        <x:f>COUNTIF('Guias'!$C$2:$C$6,A5)</x:f>
        <x:v>3</x:v>
      </x:c>
      <x:c r="C5" s="28" t="n">
        <x:f>SUMIF('Materiais'!$C$2:$C$12,A5,'Materiais'!$E$2:$E$12)</x:f>
        <x:v>22</x:v>
      </x:c>
    </x:row>
    <x:row r="6">
      <x:c r="A6" s="13" t="str">
        <x:v>Pampilhosa</x:v>
      </x:c>
      <x:c r="B6" s="29" t="n">
        <x:f>COUNTIF('Guias'!$C$2:$C$6,A6)</x:f>
        <x:v>2</x:v>
      </x:c>
      <x:c r="C6" s="30" t="n">
        <x:f>SUMIF('Materiais'!$C$2:$C$12,A6,'Materiais'!$E$2:$E$12)</x:f>
        <x:v>909</x:v>
      </x:c>
    </x:row>
    <x:row r="7">
      <x:c r="A7" s="25" t="str">
        <x:v>Total</x:v>
      </x:c>
      <x:c r="B7" s="31" t="n">
        <x:f>SUM(B5:B6)</x:f>
        <x:v>5</x:v>
      </x:c>
      <x:c r="C7" s="31" t="n">
        <x:f>SUM(C5:C6)</x:f>
        <x:v>931</x:v>
      </x:c>
    </x:row>
    <x:row r="10">
      <x:c r="A10" s="33" t="str">
        <x:v>Nota</x:v>
      </x:c>
      <x:c r="B10" s="33"/>
      <x:c r="C10" s="33"/>
      <x:c r="D10" s="33"/>
      <x:c r="E10" s="33"/>
      <x:c r="F10" s="33"/>
    </x:row>
    <x:row r="11" ht="28" customHeight="1">
      <x:c r="A11" s="48" t="str">
        <x:v>A guia GT ATDT202601GT/2462 escreve “3020-430 Pampilhosa Botão”. O destino Pampilhosa Botão foi confirmado pelo utilizador.</x:v>
      </x:c>
      <x:c r="B11" s="49"/>
      <x:c r="C11" s="49"/>
      <x:c r="D11" s="49"/>
      <x:c r="E11" s="49"/>
      <x:c r="F11" s="50"/>
    </x:row>
    <x:row r="12" ht="28" customHeight="1">
      <x:c r="A12" s="51"/>
      <x:c r="B12" s="52"/>
      <x:c r="C12" s="52"/>
      <x:c r="D12" s="52"/>
      <x:c r="E12" s="52"/>
      <x:c r="F12" s="53"/>
    </x:row>
    <x:row r="14">
      <x:c r="A14" s="56" t="str">
        <x:v>Âmbito: foram verificadas as 45 guias PDF fornecidas; 5 cumprem origem DAI/Coruche e destino Coimbra ou Pampilhosa.</x:v>
      </x:c>
      <x:c r="B14" s="56"/>
      <x:c r="C14" s="56"/>
      <x:c r="D14" s="56"/>
      <x:c r="E14" s="56"/>
      <x:c r="F14" s="56"/>
    </x:row>
  </x:sheetData>
  <x:mergeCells>
    <x:mergeCell ref="A1:F1"/>
    <x:mergeCell ref="A2:F2"/>
    <x:mergeCell ref="A10:F10"/>
    <x:mergeCell ref="A11:F1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48" hidden="0" customWidth="1"/>
    <x:col min="5" max="5" width="12" hidden="0" customWidth="1"/>
    <x:col min="6" max="6" width="12" hidden="0" customWidth="1"/>
    <x:col min="7" max="7" width="28" hidden="0" customWidth="1"/>
    <x:col min="8" max="8" width="28" hidden="0" customWidth="1"/>
    <x:col min="9" max="9" width="38" hidden="0" customWidth="1"/>
    <x:col min="10" max="10" width="52" hidden="0" customWidth="1"/>
  </x:cols>
  <x:sheetData>
    <x:row r="1" ht="15" hidden="0" customHeight="1">
      <x:c r="A1" s="65" t="str">
        <x:v>Data</x:v>
      </x:c>
      <x:c r="B1" s="66" t="str">
        <x:v>Guia</x:v>
      </x:c>
      <x:c r="C1" s="66" t="str">
        <x:v>Destino</x:v>
      </x:c>
      <x:c r="D1" s="66" t="str">
        <x:v>Material</x:v>
      </x:c>
      <x:c r="E1" s="66" t="str">
        <x:v>Quantidade</x:v>
      </x:c>
      <x:c r="F1" s="66" t="str">
        <x:v>Unidade</x:v>
      </x:c>
      <x:c r="G1" s="66" t="str">
        <x:v>Origem (guia)</x:v>
      </x:c>
      <x:c r="H1" s="66" t="str">
        <x:v>Destino (guia)</x:v>
      </x:c>
      <x:c r="I1" s="66" t="str">
        <x:v>Ficheiro de origem</x:v>
      </x:c>
      <x:c r="J1" s="67" t="str">
        <x:v>Observações</x:v>
      </x:c>
    </x:row>
    <x:row r="2" ht="15" hidden="0" customHeight="1">
      <x:c r="A2" s="78" t="n">
        <x:v>46128.5</x:v>
      </x:c>
      <x:c r="B2" s="79" t="str">
        <x:v>GT ATDT202601GT/1320</x:v>
      </x:c>
      <x:c r="C2" s="79" t="str">
        <x:v>Coimbra</x:v>
      </x:c>
      <x:c r="D2" s="88" t="str">
        <x:v>Cantoneira 725</x:v>
      </x:c>
      <x:c r="E2" s="80" t="n">
        <x:v>2</x:v>
      </x:c>
      <x:c r="F2" s="81" t="str">
        <x:v>und</x:v>
      </x:c>
      <x:c r="G2" s="79" t="str">
        <x:v>2100-051 Coruche</x:v>
      </x:c>
      <x:c r="H2" s="79" t="str">
        <x:v>3020-430 Coimbra</x:v>
      </x:c>
      <x:c r="I2" s="79" t="str">
        <x:v>GT ATDT202601GT1320_CANTONEIRAS.pdf</x:v>
      </x:c>
      <x:c r="J2" s="90" t="str"/>
    </x:row>
    <x:row r="3" ht="15" hidden="0" customHeight="1">
      <x:c r="A3" s="78" t="n">
        <x:v>46128.5</x:v>
      </x:c>
      <x:c r="B3" s="79" t="str">
        <x:v>GT ATDT202601GT/1320</x:v>
      </x:c>
      <x:c r="C3" s="79" t="str">
        <x:v>Coimbra</x:v>
      </x:c>
      <x:c r="D3" s="88" t="str">
        <x:v>Cantoneira 727</x:v>
      </x:c>
      <x:c r="E3" s="80" t="n">
        <x:v>1</x:v>
      </x:c>
      <x:c r="F3" s="81" t="str">
        <x:v>und</x:v>
      </x:c>
      <x:c r="G3" s="79" t="str">
        <x:v>2100-051 Coruche</x:v>
      </x:c>
      <x:c r="H3" s="79" t="str">
        <x:v>3020-430 Coimbra</x:v>
      </x:c>
      <x:c r="I3" s="79" t="str">
        <x:v>GT ATDT202601GT1320_CANTONEIRAS.pdf</x:v>
      </x:c>
      <x:c r="J3" s="90" t="str"/>
    </x:row>
    <x:row r="4" ht="15" hidden="0" customHeight="1">
      <x:c r="A4" s="78" t="n">
        <x:v>46167.5</x:v>
      </x:c>
      <x:c r="B4" s="79" t="str">
        <x:v>GT ATDT202601GT/1844</x:v>
      </x:c>
      <x:c r="C4" s="79" t="str">
        <x:v>Pampilhosa</x:v>
      </x:c>
      <x:c r="D4" s="88" t="str">
        <x:v>PONTEIRA PARA TUBO 19 X 26 PARA TIRANTE DA CONSOLA</x:v>
      </x:c>
      <x:c r="E4" s="80" t="n">
        <x:v>600</x:v>
      </x:c>
      <x:c r="F4" s="81" t="str">
        <x:v>und</x:v>
      </x:c>
      <x:c r="G4" s="79" t="str">
        <x:v>2100-051 Coruche</x:v>
      </x:c>
      <x:c r="H4" s="79" t="str">
        <x:v>3050-000 Pampilhosa Botão</x:v>
      </x:c>
      <x:c r="I4" s="79" t="str">
        <x:v>GT ATDT202601GT_1844 _materiais.pdf</x:v>
      </x:c>
      <x:c r="J4" s="90" t="str"/>
    </x:row>
    <x:row r="5" ht="15" hidden="0" customHeight="1">
      <x:c r="A5" s="78" t="n">
        <x:v>46167.5</x:v>
      </x:c>
      <x:c r="B5" s="79" t="str">
        <x:v>GT ATDT202601GT/1844</x:v>
      </x:c>
      <x:c r="C5" s="79" t="str">
        <x:v>Pampilhosa</x:v>
      </x:c>
      <x:c r="D5" s="88" t="str">
        <x:v>ARTICULAÇÃO DO TIRANTE DA CONSOLA</x:v>
      </x:c>
      <x:c r="E5" s="80" t="n">
        <x:v>230</x:v>
      </x:c>
      <x:c r="F5" s="81" t="str">
        <x:v>und</x:v>
      </x:c>
      <x:c r="G5" s="79" t="str">
        <x:v>2100-051 Coruche</x:v>
      </x:c>
      <x:c r="H5" s="79" t="str">
        <x:v>3050-000 Pampilhosa Botão</x:v>
      </x:c>
      <x:c r="I5" s="79" t="str">
        <x:v>GT ATDT202601GT_1844 _materiais.pdf</x:v>
      </x:c>
      <x:c r="J5" s="90" t="str"/>
    </x:row>
    <x:row r="6" ht="15" hidden="0" customHeight="1">
      <x:c r="A6" s="78" t="n">
        <x:v>46211.5</x:v>
      </x:c>
      <x:c r="B6" s="79" t="str">
        <x:v>GT ATDT202601GT/2462</x:v>
      </x:c>
      <x:c r="C6" s="79" t="str">
        <x:v>Pampilhosa</x:v>
      </x:c>
      <x:c r="D6" s="88" t="str">
        <x:v>Seccionador</x:v>
      </x:c>
      <x:c r="E6" s="80" t="n">
        <x:v>1</x:v>
      </x:c>
      <x:c r="F6" s="81" t="str">
        <x:v>und</x:v>
      </x:c>
      <x:c r="G6" s="79" t="str">
        <x:v>2100-051 Coruche</x:v>
      </x:c>
      <x:c r="H6" s="79" t="str">
        <x:v>3020-430 Pampilhosa Botão</x:v>
      </x:c>
      <x:c r="I6" s="79" t="str">
        <x:v>GT ATDT202601GT_2462.pdf</x:v>
      </x:c>
      <x:c r="J6" s="90" t="str">
        <x:v>Destino Pampilhosa Botão confirmado pelo utilizador.</x:v>
      </x:c>
    </x:row>
    <x:row r="7" ht="15" hidden="0" customHeight="1">
      <x:c r="A7" s="78" t="n">
        <x:v>46211.5</x:v>
      </x:c>
      <x:c r="B7" s="79" t="str">
        <x:v>GT ATDT202601GT/2462</x:v>
      </x:c>
      <x:c r="C7" s="79" t="str">
        <x:v>Pampilhosa</x:v>
      </x:c>
      <x:c r="D7" s="88" t="str">
        <x:v>Caixa do Comando do Seccionador</x:v>
      </x:c>
      <x:c r="E7" s="80" t="n">
        <x:v>1</x:v>
      </x:c>
      <x:c r="F7" s="81" t="str">
        <x:v>und</x:v>
      </x:c>
      <x:c r="G7" s="79" t="str">
        <x:v>2100-051 Coruche</x:v>
      </x:c>
      <x:c r="H7" s="79" t="str">
        <x:v>3020-430 Pampilhosa Botão</x:v>
      </x:c>
      <x:c r="I7" s="79" t="str">
        <x:v>GT ATDT202601GT_2462.pdf</x:v>
      </x:c>
      <x:c r="J7" s="90" t="str">
        <x:v>Destino Pampilhosa Botão confirmado pelo utilizador.</x:v>
      </x:c>
    </x:row>
    <x:row r="8" ht="15" hidden="0" customHeight="1">
      <x:c r="A8" s="78" t="n">
        <x:v>46211.5</x:v>
      </x:c>
      <x:c r="B8" s="79" t="str">
        <x:v>GT ATDT202601GT/2462</x:v>
      </x:c>
      <x:c r="C8" s="79" t="str">
        <x:v>Pampilhosa</x:v>
      </x:c>
      <x:c r="D8" s="88" t="str">
        <x:v>Estribos</x:v>
      </x:c>
      <x:c r="E8" s="80" t="n">
        <x:v>54</x:v>
      </x:c>
      <x:c r="F8" s="81" t="str">
        <x:v>und</x:v>
      </x:c>
      <x:c r="G8" s="79" t="str">
        <x:v>2100-051 Coruche</x:v>
      </x:c>
      <x:c r="H8" s="79" t="str">
        <x:v>3020-430 Pampilhosa Botão</x:v>
      </x:c>
      <x:c r="I8" s="79" t="str">
        <x:v>GT ATDT202601GT_2462.pdf</x:v>
      </x:c>
      <x:c r="J8" s="90" t="str">
        <x:v>Destino Pampilhosa Botão confirmado pelo utilizador.</x:v>
      </x:c>
    </x:row>
    <x:row r="9" ht="15" hidden="0" customHeight="1">
      <x:c r="A9" s="78" t="n">
        <x:v>46211.5</x:v>
      </x:c>
      <x:c r="B9" s="79" t="str">
        <x:v>GT ATDT202601GT/2462</x:v>
      </x:c>
      <x:c r="C9" s="79" t="str">
        <x:v>Pampilhosa</x:v>
      </x:c>
      <x:c r="D9" s="88" t="str">
        <x:v>Desboniador</x:v>
      </x:c>
      <x:c r="E9" s="80" t="n">
        <x:v>1</x:v>
      </x:c>
      <x:c r="F9" s="81" t="str">
        <x:v>und</x:v>
      </x:c>
      <x:c r="G9" s="79" t="str">
        <x:v>2100-051 Coruche</x:v>
      </x:c>
      <x:c r="H9" s="79" t="str">
        <x:v>3020-430 Pampilhosa Botão</x:v>
      </x:c>
      <x:c r="I9" s="79" t="str">
        <x:v>GT ATDT202601GT_2462.pdf</x:v>
      </x:c>
      <x:c r="J9" s="90" t="str">
        <x:v>Destino Pampilhosa Botão confirmado pelo utilizador.</x:v>
      </x:c>
    </x:row>
    <x:row r="10" ht="15" hidden="0" customHeight="1">
      <x:c r="A10" s="78" t="n">
        <x:v>46211.5</x:v>
      </x:c>
      <x:c r="B10" s="79" t="str">
        <x:v>GT ATDT202601GT/2462</x:v>
      </x:c>
      <x:c r="C10" s="79" t="str">
        <x:v>Pampilhosa</x:v>
      </x:c>
      <x:c r="D10" s="88" t="str">
        <x:v>Esquadro para consola feeder</x:v>
      </x:c>
      <x:c r="E10" s="80" t="n">
        <x:v>22</x:v>
      </x:c>
      <x:c r="F10" s="81" t="str">
        <x:v>und</x:v>
      </x:c>
      <x:c r="G10" s="79" t="str">
        <x:v>2100-051 Coruche</x:v>
      </x:c>
      <x:c r="H10" s="79" t="str">
        <x:v>3020-430 Pampilhosa Botão</x:v>
      </x:c>
      <x:c r="I10" s="79" t="str">
        <x:v>GT ATDT202601GT_2462.pdf</x:v>
      </x:c>
      <x:c r="J10" s="90" t="str">
        <x:v>Destino Pampilhosa Botão confirmado pelo utilizador.</x:v>
      </x:c>
    </x:row>
    <x:row r="11" ht="26.399999618530273" hidden="0" customHeight="1">
      <x:c r="A11" s="78" t="n">
        <x:v>46239.5</x:v>
      </x:c>
      <x:c r="B11" s="79" t="str">
        <x:v>GT ATDT202601GT/2827</x:v>
      </x:c>
      <x:c r="C11" s="79" t="str">
        <x:v>Coimbra</x:v>
      </x:c>
      <x:c r="D11" s="88" t="str">
        <x:v>Suporte de fixação de braço de chamada p/ tubos 24x32 e 30x38 - 642</x:v>
      </x:c>
      <x:c r="E11" s="80" t="n">
        <x:v>18</x:v>
      </x:c>
      <x:c r="F11" s="81" t="str">
        <x:v>und</x:v>
      </x:c>
      <x:c r="G11" s="79" t="str">
        <x:v>2100-051 Coruche</x:v>
      </x:c>
      <x:c r="H11" s="79" t="str">
        <x:v>3020-430 Coimbra</x:v>
      </x:c>
      <x:c r="I11" s="79" t="str">
        <x:v>GT ATDT202601GT_2827.pdf</x:v>
      </x:c>
      <x:c r="J11" s="90" t="str"/>
    </x:row>
    <x:row r="12" ht="15" hidden="0" customHeight="1">
      <x:c r="A12" s="83" t="n">
        <x:v>46239.5</x:v>
      </x:c>
      <x:c r="B12" s="84" t="str">
        <x:v>GT ATDT202601GT/2829</x:v>
      </x:c>
      <x:c r="C12" s="84" t="str">
        <x:v>Coimbra</x:v>
      </x:c>
      <x:c r="D12" s="89" t="str">
        <x:v>Molde de soldadura fita de aço cobreado</x:v>
      </x:c>
      <x:c r="E12" s="85" t="n">
        <x:v>1</x:v>
      </x:c>
      <x:c r="F12" s="86" t="str">
        <x:v>und</x:v>
      </x:c>
      <x:c r="G12" s="84" t="str">
        <x:v>2100-051 Coruche</x:v>
      </x:c>
      <x:c r="H12" s="84" t="str">
        <x:v>3020-430 Coimbra</x:v>
      </x:c>
      <x:c r="I12" s="84" t="str">
        <x:v>GT ATDT202601GT_2829.pdf</x:v>
      </x:c>
      <x:c r="J12" s="91" t="str"/>
    </x:row>
  </x:sheetData>
  <x:pageMargins left="0.7" right="0.7" top="0.75" bottom="0.75" header="0.3" footer="0.3"/>
  <x:tableParts count="1">
    <x:tablePart xmlns:r="http://schemas.openxmlformats.org/officeDocument/2006/relationships" r:id="Rcc74c1e6770a41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30" hidden="0" customWidth="1"/>
    <x:col min="5" max="5" width="16" hidden="0" customWidth="1"/>
    <x:col min="6" max="6" width="42" hidden="0" customWidth="1"/>
    <x:col min="7" max="7" width="32" hidden="0" customWidth="1"/>
  </x:cols>
  <x:sheetData>
    <x:row r="1">
      <x:c r="A1" s="92" t="str">
        <x:v>Guia</x:v>
      </x:c>
      <x:c r="B1" s="93" t="str">
        <x:v>Data</x:v>
      </x:c>
      <x:c r="C1" s="93" t="str">
        <x:v>Destino classificado</x:v>
      </x:c>
      <x:c r="D1" s="93" t="str">
        <x:v>Local de descarga (guia)</x:v>
      </x:c>
      <x:c r="E1" s="93" t="str">
        <x:v>Linhas de material</x:v>
      </x:c>
      <x:c r="F1" s="93" t="str">
        <x:v>Ficheiro</x:v>
      </x:c>
      <x:c r="G1" s="94" t="str">
        <x:v>Estado</x:v>
      </x:c>
    </x:row>
    <x:row r="2">
      <x:c r="A2" s="95" t="str">
        <x:v>GT ATDT202601GT/1320</x:v>
      </x:c>
      <x:c r="B2" s="96" t="n">
        <x:v>46128.5</x:v>
      </x:c>
      <x:c r="C2" s="69" t="str">
        <x:v>Coimbra</x:v>
      </x:c>
      <x:c r="D2" s="69" t="str">
        <x:v>3020-430 Coimbra</x:v>
      </x:c>
      <x:c r="E2" s="97" t="n">
        <x:v>2</x:v>
      </x:c>
      <x:c r="F2" s="69" t="str">
        <x:v>GT ATDT202601GT1320_CANTONEIRAS.pdf</x:v>
      </x:c>
      <x:c r="G2" s="72" t="str">
        <x:v>Validada</x:v>
      </x:c>
    </x:row>
    <x:row r="3">
      <x:c r="A3" s="95" t="str">
        <x:v>GT ATDT202601GT/1844</x:v>
      </x:c>
      <x:c r="B3" s="96" t="n">
        <x:v>46167.5</x:v>
      </x:c>
      <x:c r="C3" s="69" t="str">
        <x:v>Pampilhosa</x:v>
      </x:c>
      <x:c r="D3" s="69" t="str">
        <x:v>3050-000 Pampilhosa Botão</x:v>
      </x:c>
      <x:c r="E3" s="97" t="n">
        <x:v>2</x:v>
      </x:c>
      <x:c r="F3" s="69" t="str">
        <x:v>GT ATDT202601GT_1844 _materiais.pdf</x:v>
      </x:c>
      <x:c r="G3" s="72" t="str">
        <x:v>Validada</x:v>
      </x:c>
    </x:row>
    <x:row r="4">
      <x:c r="A4" s="95" t="str">
        <x:v>GT ATDT202601GT/2462</x:v>
      </x:c>
      <x:c r="B4" s="96" t="n">
        <x:v>46211.5</x:v>
      </x:c>
      <x:c r="C4" s="69" t="str">
        <x:v>Pampilhosa</x:v>
      </x:c>
      <x:c r="D4" s="69" t="str">
        <x:v>3020-430 Pampilhosa Botão</x:v>
      </x:c>
      <x:c r="E4" s="97" t="n">
        <x:v>5</x:v>
      </x:c>
      <x:c r="F4" s="69" t="str">
        <x:v>GT ATDT202601GT_2462.pdf</x:v>
      </x:c>
      <x:c r="G4" s="72" t="str">
        <x:v>Destino confirmado pelo utilizador</x:v>
      </x:c>
    </x:row>
    <x:row r="5">
      <x:c r="A5" s="95" t="str">
        <x:v>GT ATDT202601GT/2827</x:v>
      </x:c>
      <x:c r="B5" s="96" t="n">
        <x:v>46239.5</x:v>
      </x:c>
      <x:c r="C5" s="69" t="str">
        <x:v>Coimbra</x:v>
      </x:c>
      <x:c r="D5" s="69" t="str">
        <x:v>3020-430 Coimbra</x:v>
      </x:c>
      <x:c r="E5" s="97" t="n">
        <x:v>1</x:v>
      </x:c>
      <x:c r="F5" s="69" t="str">
        <x:v>GT ATDT202601GT_2827.pdf</x:v>
      </x:c>
      <x:c r="G5" s="72" t="str">
        <x:v>Validada</x:v>
      </x:c>
    </x:row>
    <x:row r="6">
      <x:c r="A6" s="98" t="str">
        <x:v>GT ATDT202601GT/2829</x:v>
      </x:c>
      <x:c r="B6" s="99" t="n">
        <x:v>46239.5</x:v>
      </x:c>
      <x:c r="C6" s="74" t="str">
        <x:v>Coimbra</x:v>
      </x:c>
      <x:c r="D6" s="74" t="str">
        <x:v>3020-430 Coimbra</x:v>
      </x:c>
      <x:c r="E6" s="100" t="n">
        <x:v>1</x:v>
      </x:c>
      <x:c r="F6" s="74" t="str">
        <x:v>GT ATDT202601GT_2829.pdf</x:v>
      </x:c>
      <x:c r="G6" s="77" t="str">
        <x:v>Validada</x:v>
      </x:c>
    </x:row>
  </x:sheetData>
  <x:conditionalFormatting sqref="G2:G6">
    <x:cfRule type="containsText" dxfId="0" priority="1" operator="containsText" text="confirmado"/>
  </x:conditionalFormatting>
  <x:pageMargins left="0.7" right="0.7" top="0.75" bottom="0.75" header="0.3" footer="0.3"/>
  <x:tableParts count="1">
    <x:tablePart xmlns:r="http://schemas.openxmlformats.org/officeDocument/2006/relationships" r:id="Rf0908b61d7b8450e"/>
  </x:tableParts>
</x:worksheet>
</file>