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1ff2a9065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ório para imprimir" sheetId="1" r:id="Rc9fd619e685f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-yyyy"/>
  </x:numFmts>
  <x:fonts count="6">
    <x:font>
      <x:sz val="11"/>
      <x:name val="Carlito"/>
    </x:font>
    <x:font>
      <x:b/>
      <x:sz val="17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E8F0"/>
      </x:patternFill>
    </x:fill>
  </x:fills>
  <x:borders count="21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double">
        <x:color rgb="FF64748B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4" fillId="5" borderId="11" xfId="0" applyNumberFormat="1" applyFont="1" applyFill="1" applyBorder="1"/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201" fontId="0" fillId="0" borderId="12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8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200" fontId="0" fillId="0" borderId="19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horizontal="center" vertical="top"/>
    </x:xf>
    <x:xf numFmtId="200" fontId="0" fillId="0" borderId="16" xfId="0" applyNumberFormat="1" applyFont="1" applyFill="1" applyBorder="1" applyAlignment="1">
      <x:alignment horizontal="center" vertical="top"/>
    </x:xf>
    <x:xf numFmtId="0" fontId="0" fillId="0" borderId="16" xfId="0" applyNumberFormat="1" applyFont="1" applyFill="1" applyBorder="1" applyAlignment="1">
      <x:alignment horizontal="center" vertical="top"/>
    </x:xf>
    <x:xf numFmtId="200" fontId="0" fillId="0" borderId="19" xfId="0" applyNumberFormat="1" applyFont="1" applyFill="1" applyBorder="1" applyAlignment="1">
      <x:alignment horizontal="center" vertical="top"/>
    </x:xf>
    <x:xf numFmtId="0" fontId="0" fillId="0" borderId="19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eb4f3ffd940fc" /><Relationship Type="http://schemas.openxmlformats.org/officeDocument/2006/relationships/theme" Target="/xl/theme/theme1.xml" Id="R002d2de4aed147bf" /><Relationship Type="http://schemas.openxmlformats.org/officeDocument/2006/relationships/sharedStrings" Target="/xl/sharedStrings.xml" Id="R0b668b608dbb49c2" /><Relationship Type="http://schemas.openxmlformats.org/officeDocument/2006/relationships/worksheet" Target="/xl/worksheets/sheet1.xml" Id="Rc9fd619e685f476c" /></Relationships>
</file>

<file path=xl/tables/table1.xml><?xml version="1.0" encoding="utf-8"?>
<x:table xmlns:x="http://schemas.openxmlformats.org/spreadsheetml/2006/main" id="1" name="MateriaisDAICoruche" displayName="MateriaisDAICoruche" ref="A13:H24" headerRowCount="1" totalsRowCount="0" totalsRowShown="0">
  <x:tableColumns count="8">
    <x:tableColumn id="1" name="Data"/>
    <x:tableColumn id="2" name="Guia"/>
    <x:tableColumn id="3" name="Destino"/>
    <x:tableColumn id="4" name="Material"/>
    <x:tableColumn id="5" name="Quantidade"/>
    <x:tableColumn id="6" name="Unidade"/>
    <x:tableColumn id="7" name="Local de descarga indicado na guia"/>
    <x:tableColumn id="8" name="Ficheiro de 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e6051ca7d14d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43" hidden="0" customWidth="1"/>
    <x:col min="5" max="5" width="12" hidden="0" customWidth="1"/>
    <x:col min="6" max="6" width="10" hidden="0" customWidth="1"/>
    <x:col min="7" max="7" width="37" hidden="0" customWidth="1"/>
    <x:col min="8" max="8" width="37" hidden="0" customWidth="1"/>
  </x:cols>
  <x:sheetData>
    <x:row r="1" ht="30" customHeight="1">
      <x:c r="A1" s="3" t="str">
        <x:v>Material da DAI Coruche para Coimbra e Pampilhosa Botão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Consolidação de 5 guias de transporte | folha única preparada para impressão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Destino</x:v>
      </x:c>
      <x:c r="B4" s="11" t="str">
        <x:v>N.º de guias</x:v>
      </x:c>
      <x:c r="C4" s="11" t="str">
        <x:v>Total (und)</x:v>
      </x:c>
    </x:row>
    <x:row r="5">
      <x:c r="A5" s="12" t="str">
        <x:v>Coimbra</x:v>
      </x:c>
      <x:c r="B5" s="29" t="n">
        <x:v>3</x:v>
      </x:c>
      <x:c r="C5" s="30" t="n">
        <x:f>SUMIFS($E$14:$E$24,$C$14:$C$24,A5,$F$14:$F$24,"und")</x:f>
        <x:v>22</x:v>
      </x:c>
    </x:row>
    <x:row r="6">
      <x:c r="A6" s="15" t="str">
        <x:v>Pampilhosa Botão</x:v>
      </x:c>
      <x:c r="B6" s="31" t="n">
        <x:v>2</x:v>
      </x:c>
      <x:c r="C6" s="32" t="n">
        <x:f>SUMIFS($E$14:$E$24,$C$14:$C$24,A6,$F$14:$F$24,"und")</x:f>
        <x:v>909</x:v>
      </x:c>
    </x:row>
    <x:row r="7">
      <x:c r="A7" s="27" t="str">
        <x:v>Total</x:v>
      </x:c>
      <x:c r="B7" s="33" t="n">
        <x:f>SUM(B5:B6)</x:f>
        <x:v>5</x:v>
      </x:c>
      <x:c r="C7" s="33" t="n">
        <x:f>SUM(C5:C6)</x:f>
        <x:v>931</x:v>
      </x:c>
    </x:row>
    <x:row r="12">
      <x:c r="A12" s="34" t="str">
        <x:v>Detalhe dos materiais</x:v>
      </x:c>
      <x:c r="B12" s="34"/>
      <x:c r="C12" s="34"/>
      <x:c r="D12" s="34"/>
      <x:c r="E12" s="34"/>
      <x:c r="F12" s="34"/>
      <x:c r="G12" s="34"/>
      <x:c r="H12" s="34"/>
    </x:row>
    <x:row r="13" ht="30" customHeight="1">
      <x:c r="A13" s="35" t="str">
        <x:v>Data</x:v>
      </x:c>
      <x:c r="B13" s="35" t="str">
        <x:v>Guia</x:v>
      </x:c>
      <x:c r="C13" s="35" t="str">
        <x:v>Destino</x:v>
      </x:c>
      <x:c r="D13" s="35" t="str">
        <x:v>Material</x:v>
      </x:c>
      <x:c r="E13" s="35" t="str">
        <x:v>Quantidade</x:v>
      </x:c>
      <x:c r="F13" s="35" t="str">
        <x:v>Unidade</x:v>
      </x:c>
      <x:c r="G13" s="35" t="str">
        <x:v>Local de descarga indicado na guia</x:v>
      </x:c>
      <x:c r="H13" s="35" t="str">
        <x:v>Ficheiro de origem</x:v>
      </x:c>
    </x:row>
    <x:row r="14" ht="15" hidden="0" customHeight="1">
      <x:c r="A14" s="54" t="n">
        <x:v>46128.5</x:v>
      </x:c>
      <x:c r="B14" s="46" t="str">
        <x:v>GT ATDT202601GT/1320</x:v>
      </x:c>
      <x:c r="C14" s="46" t="str">
        <x:v>Coimbra</x:v>
      </x:c>
      <x:c r="D14" s="66" t="str">
        <x:v>Cantoneira 725</x:v>
      </x:c>
      <x:c r="E14" s="60" t="n">
        <x:v>2</x:v>
      </x:c>
      <x:c r="F14" s="61" t="str">
        <x:v>und</x:v>
      </x:c>
      <x:c r="G14" s="66" t="str">
        <x:v>3020-430 Coimbra</x:v>
      </x:c>
      <x:c r="H14" s="69" t="str">
        <x:v>GT ATDT202601GT1320_CANTONEIRAS.pdf</x:v>
      </x:c>
    </x:row>
    <x:row r="15" ht="15" hidden="0" customHeight="1">
      <x:c r="A15" s="55" t="n">
        <x:v>46128.5</x:v>
      </x:c>
      <x:c r="B15" s="49" t="str">
        <x:v>GT ATDT202601GT/1320</x:v>
      </x:c>
      <x:c r="C15" s="49" t="str">
        <x:v>Coimbra</x:v>
      </x:c>
      <x:c r="D15" s="67" t="str">
        <x:v>Cantoneira 727</x:v>
      </x:c>
      <x:c r="E15" s="62" t="n">
        <x:v>1</x:v>
      </x:c>
      <x:c r="F15" s="63" t="str">
        <x:v>und</x:v>
      </x:c>
      <x:c r="G15" s="67" t="str">
        <x:v>3020-430 Coimbra</x:v>
      </x:c>
      <x:c r="H15" s="70" t="str">
        <x:v>GT ATDT202601GT1320_CANTONEIRAS.pdf</x:v>
      </x:c>
    </x:row>
    <x:row r="16" ht="26.399999618530273" hidden="0" customHeight="1">
      <x:c r="A16" s="55" t="n">
        <x:v>46167.5</x:v>
      </x:c>
      <x:c r="B16" s="49" t="str">
        <x:v>GT ATDT202601GT/1844</x:v>
      </x:c>
      <x:c r="C16" s="49" t="str">
        <x:v>Pampilhosa Botão</x:v>
      </x:c>
      <x:c r="D16" s="67" t="str">
        <x:v>PONTEIRA PARA TUBO 19 X 26 PARA TIRANTE DA CONSOLA</x:v>
      </x:c>
      <x:c r="E16" s="62" t="n">
        <x:v>600</x:v>
      </x:c>
      <x:c r="F16" s="63" t="str">
        <x:v>und</x:v>
      </x:c>
      <x:c r="G16" s="67" t="str">
        <x:v>3050-000 Pampilhosa Botão</x:v>
      </x:c>
      <x:c r="H16" s="70" t="str">
        <x:v>GT ATDT202601GT_1844 _materiais.pdf</x:v>
      </x:c>
    </x:row>
    <x:row r="17" ht="15" hidden="0" customHeight="1">
      <x:c r="A17" s="55" t="n">
        <x:v>46167.5</x:v>
      </x:c>
      <x:c r="B17" s="49" t="str">
        <x:v>GT ATDT202601GT/1844</x:v>
      </x:c>
      <x:c r="C17" s="49" t="str">
        <x:v>Pampilhosa Botão</x:v>
      </x:c>
      <x:c r="D17" s="67" t="str">
        <x:v>ARTICULAÇÃO DO TIRANTE DA CONSOLA</x:v>
      </x:c>
      <x:c r="E17" s="62" t="n">
        <x:v>230</x:v>
      </x:c>
      <x:c r="F17" s="63" t="str">
        <x:v>und</x:v>
      </x:c>
      <x:c r="G17" s="67" t="str">
        <x:v>3050-000 Pampilhosa Botão</x:v>
      </x:c>
      <x:c r="H17" s="70" t="str">
        <x:v>GT ATDT202601GT_1844 _materiais.pdf</x:v>
      </x:c>
    </x:row>
    <x:row r="18" ht="15" hidden="0" customHeight="1">
      <x:c r="A18" s="55" t="n">
        <x:v>46211.5</x:v>
      </x:c>
      <x:c r="B18" s="49" t="str">
        <x:v>GT ATDT202601GT/2462</x:v>
      </x:c>
      <x:c r="C18" s="49" t="str">
        <x:v>Pampilhosa Botão</x:v>
      </x:c>
      <x:c r="D18" s="67" t="str">
        <x:v>Seccionador</x:v>
      </x:c>
      <x:c r="E18" s="62" t="n">
        <x:v>1</x:v>
      </x:c>
      <x:c r="F18" s="63" t="str">
        <x:v>und</x:v>
      </x:c>
      <x:c r="G18" s="67" t="str">
        <x:v>3020-430 Pampilhosa Botão</x:v>
      </x:c>
      <x:c r="H18" s="70" t="str">
        <x:v>GT ATDT202601GT_2462.pdf</x:v>
      </x:c>
    </x:row>
    <x:row r="19" ht="15" hidden="0" customHeight="1">
      <x:c r="A19" s="55" t="n">
        <x:v>46211.5</x:v>
      </x:c>
      <x:c r="B19" s="49" t="str">
        <x:v>GT ATDT202601GT/2462</x:v>
      </x:c>
      <x:c r="C19" s="49" t="str">
        <x:v>Pampilhosa Botão</x:v>
      </x:c>
      <x:c r="D19" s="67" t="str">
        <x:v>Caixa do Comando do Seccionador</x:v>
      </x:c>
      <x:c r="E19" s="62" t="n">
        <x:v>1</x:v>
      </x:c>
      <x:c r="F19" s="63" t="str">
        <x:v>und</x:v>
      </x:c>
      <x:c r="G19" s="67" t="str">
        <x:v>3020-430 Pampilhosa Botão</x:v>
      </x:c>
      <x:c r="H19" s="70" t="str">
        <x:v>GT ATDT202601GT_2462.pdf</x:v>
      </x:c>
    </x:row>
    <x:row r="20" ht="15" hidden="0" customHeight="1">
      <x:c r="A20" s="55" t="n">
        <x:v>46211.5</x:v>
      </x:c>
      <x:c r="B20" s="49" t="str">
        <x:v>GT ATDT202601GT/2462</x:v>
      </x:c>
      <x:c r="C20" s="49" t="str">
        <x:v>Pampilhosa Botão</x:v>
      </x:c>
      <x:c r="D20" s="67" t="str">
        <x:v>Estribos</x:v>
      </x:c>
      <x:c r="E20" s="62" t="n">
        <x:v>54</x:v>
      </x:c>
      <x:c r="F20" s="63" t="str">
        <x:v>und</x:v>
      </x:c>
      <x:c r="G20" s="67" t="str">
        <x:v>3020-430 Pampilhosa Botão</x:v>
      </x:c>
      <x:c r="H20" s="70" t="str">
        <x:v>GT ATDT202601GT_2462.pdf</x:v>
      </x:c>
    </x:row>
    <x:row r="21" ht="15" hidden="0" customHeight="1">
      <x:c r="A21" s="55" t="n">
        <x:v>46211.5</x:v>
      </x:c>
      <x:c r="B21" s="49" t="str">
        <x:v>GT ATDT202601GT/2462</x:v>
      </x:c>
      <x:c r="C21" s="49" t="str">
        <x:v>Pampilhosa Botão</x:v>
      </x:c>
      <x:c r="D21" s="67" t="str">
        <x:v>Desboniador</x:v>
      </x:c>
      <x:c r="E21" s="62" t="n">
        <x:v>1</x:v>
      </x:c>
      <x:c r="F21" s="63" t="str">
        <x:v>und</x:v>
      </x:c>
      <x:c r="G21" s="67" t="str">
        <x:v>3020-430 Pampilhosa Botão</x:v>
      </x:c>
      <x:c r="H21" s="70" t="str">
        <x:v>GT ATDT202601GT_2462.pdf</x:v>
      </x:c>
    </x:row>
    <x:row r="22" ht="15" hidden="0" customHeight="1">
      <x:c r="A22" s="55" t="n">
        <x:v>46211.5</x:v>
      </x:c>
      <x:c r="B22" s="49" t="str">
        <x:v>GT ATDT202601GT/2462</x:v>
      </x:c>
      <x:c r="C22" s="49" t="str">
        <x:v>Pampilhosa Botão</x:v>
      </x:c>
      <x:c r="D22" s="67" t="str">
        <x:v>Esquadro para consola feeder</x:v>
      </x:c>
      <x:c r="E22" s="62" t="n">
        <x:v>22</x:v>
      </x:c>
      <x:c r="F22" s="63" t="str">
        <x:v>und</x:v>
      </x:c>
      <x:c r="G22" s="67" t="str">
        <x:v>3020-430 Pampilhosa Botão</x:v>
      </x:c>
      <x:c r="H22" s="70" t="str">
        <x:v>GT ATDT202601GT_2462.pdf</x:v>
      </x:c>
    </x:row>
    <x:row r="23" ht="26.399999618530273" hidden="0" customHeight="1">
      <x:c r="A23" s="55" t="n">
        <x:v>46239.5</x:v>
      </x:c>
      <x:c r="B23" s="49" t="str">
        <x:v>GT ATDT202601GT/2827</x:v>
      </x:c>
      <x:c r="C23" s="49" t="str">
        <x:v>Coimbra</x:v>
      </x:c>
      <x:c r="D23" s="67" t="str">
        <x:v>Suporte de fixação de braço de chamada p/ tubos 24x32 e 30x38 - 642</x:v>
      </x:c>
      <x:c r="E23" s="62" t="n">
        <x:v>18</x:v>
      </x:c>
      <x:c r="F23" s="63" t="str">
        <x:v>und</x:v>
      </x:c>
      <x:c r="G23" s="67" t="str">
        <x:v>3020-430 Coimbra</x:v>
      </x:c>
      <x:c r="H23" s="70" t="str">
        <x:v>GT ATDT202601GT_2827.pdf</x:v>
      </x:c>
    </x:row>
    <x:row r="24" ht="15" hidden="0" customHeight="1">
      <x:c r="A24" s="56" t="n">
        <x:v>46239.5</x:v>
      </x:c>
      <x:c r="B24" s="52" t="str">
        <x:v>GT ATDT202601GT/2829</x:v>
      </x:c>
      <x:c r="C24" s="52" t="str">
        <x:v>Coimbra</x:v>
      </x:c>
      <x:c r="D24" s="68" t="str">
        <x:v>Molde de soldadura fita de aço cobreado</x:v>
      </x:c>
      <x:c r="E24" s="64" t="n">
        <x:v>1</x:v>
      </x:c>
      <x:c r="F24" s="65" t="str">
        <x:v>und</x:v>
      </x:c>
      <x:c r="G24" s="68" t="str">
        <x:v>3020-430 Coimbra</x:v>
      </x:c>
      <x:c r="H24" s="71" t="str">
        <x:v>GT ATDT202601GT_2829.pdf</x:v>
      </x:c>
    </x:row>
  </x:sheetData>
  <x:mergeCells>
    <x:mergeCell ref="A1:H1"/>
    <x:mergeCell ref="A2:H2"/>
    <x:mergeCell ref="A12:H12"/>
  </x:mergeCells>
  <x:pageMargins left="0.7" right="0.7" top="0.75" bottom="0.75" header="0.3" footer="0.3"/>
  <x:tableParts count="1">
    <x:tablePart xmlns:r="http://schemas.openxmlformats.org/officeDocument/2006/relationships" r:id="Rabe6051ca7d14d45"/>
  </x:tableParts>
</x:worksheet>
</file>