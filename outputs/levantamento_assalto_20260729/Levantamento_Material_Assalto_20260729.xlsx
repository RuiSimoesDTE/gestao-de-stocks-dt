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72309df0d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pedido" sheetId="1" r:id="Rc2d146cf10d54e31"/>
    <x:sheet xmlns:r="http://schemas.openxmlformats.org/officeDocument/2006/relationships" name="Ferramentas várias" sheetId="2" r:id="R92268c0aad834e78"/>
    <x:sheet xmlns:r="http://schemas.openxmlformats.org/officeDocument/2006/relationships" name="Resumo" sheetId="3" r:id="R962a85b28b44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i/>
      <x:sz val="11"/>
      <x:color rgb="FF666666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2">
    <x:border/>
    <x:border>
      <x:bottom style="double">
        <x:color rgb="FF17365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0" fontId="9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e50422c5a4b2c" /><Relationship Type="http://schemas.openxmlformats.org/officeDocument/2006/relationships/theme" Target="/xl/theme/theme1.xml" Id="R6235793a2f0445f6" /><Relationship Type="http://schemas.openxmlformats.org/officeDocument/2006/relationships/sharedStrings" Target="/xl/sharedStrings.xml" Id="R0bc6836376374403" /><Relationship Type="http://schemas.openxmlformats.org/officeDocument/2006/relationships/worksheet" Target="/xl/worksheets/sheet1.xml" Id="Rc2d146cf10d54e31" /><Relationship Type="http://schemas.openxmlformats.org/officeDocument/2006/relationships/worksheet" Target="/xl/worksheets/sheet2.xml" Id="R92268c0aad834e78" /><Relationship Type="http://schemas.openxmlformats.org/officeDocument/2006/relationships/worksheet" Target="/xl/worksheets/sheet3.xml" Id="R962a85b28b44423b" /></Relationships>
</file>

<file path=xl/tables/table1.xml><?xml version="1.0" encoding="utf-8"?>
<x:table xmlns:x="http://schemas.openxmlformats.org/spreadsheetml/2006/main" id="1" name="TblMaterialPedido" displayName="TblMaterialPedido" ref="A4:L28" headerRowCount="1" totalsRowCount="0" totalsRowShown="0">
  <x:tableColumns count="12">
    <x:tableColumn id="1" name="Categoria"/>
    <x:tableColumn id="2" name="Código interno"/>
    <x:tableColumn id="3" name="Código SAP"/>
    <x:tableColumn id="4" name="Descrição"/>
    <x:tableColumn id="5" name="Stock no programa"/>
    <x:tableColumn id="6" name="Unidade"/>
    <x:tableColumn id="7" name="Fornecedor"/>
    <x:tableColumn id="8" name="Identificação"/>
    <x:tableColumn id="9" name="Observações"/>
    <x:tableColumn id="10" name="Falta confirmada?"/>
    <x:tableColumn id="11" name="Quantidade em falta"/>
    <x:tableColumn id="12" name="Notas da conta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FerramentasVarias" displayName="TblFerramentasVarias" ref="A4:L80" headerRowCount="1" totalsRowCount="0" totalsRowShown="0">
  <x:tableColumns count="12">
    <x:tableColumn id="1" name="Categoria"/>
    <x:tableColumn id="2" name="Código interno"/>
    <x:tableColumn id="3" name="Código SAP"/>
    <x:tableColumn id="4" name="Descrição"/>
    <x:tableColumn id="5" name="Stock no programa"/>
    <x:tableColumn id="6" name="Unidade"/>
    <x:tableColumn id="7" name="Fornecedor"/>
    <x:tableColumn id="8" name="Identificação"/>
    <x:tableColumn id="9" name="Observações"/>
    <x:tableColumn id="10" name="Falta confirmada?"/>
    <x:tableColumn id="11" name="Quantidade em falta"/>
    <x:tableColumn id="12" name="Notas da conta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5a637d69f648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2c8fcf22fb43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48" hidden="0" customWidth="1"/>
    <x:col min="5" max="5" width="17" hidden="0" customWidth="1"/>
    <x:col min="6" max="6" width="10" hidden="0" customWidth="1"/>
    <x:col min="7" max="7" width="34" hidden="0" customWidth="1"/>
    <x:col min="8" max="8" width="17" hidden="0" customWidth="1"/>
    <x:col min="9" max="9" width="52" hidden="0" customWidth="1"/>
    <x:col min="10" max="10" width="20" hidden="0" customWidth="1"/>
    <x:col min="11" max="11" width="20" hidden="0" customWidth="1"/>
    <x:col min="12" max="12" width="38" hidden="0" customWidth="1"/>
  </x:cols>
  <x:sheetData>
    <x:row r="1" ht="32" customHeight="1">
      <x:c r="A1" s="11" t="str">
        <x:v>Levantamento do material referido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8" customHeight="1">
      <x:c r="A2" s="12" t="str">
        <x:v>Levantamento para conferência — data indicada do assalto: 24/07/2026 — este ficheiro NÃO regista saídas de stock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32" customHeight="1">
      <x:c r="A4" s="14" t="str">
        <x:v>Categoria</x:v>
      </x:c>
      <x:c r="B4" s="14" t="str">
        <x:v>Código interno</x:v>
      </x:c>
      <x:c r="C4" s="14" t="str">
        <x:v>Código SAP</x:v>
      </x:c>
      <x:c r="D4" s="14" t="str">
        <x:v>Descrição</x:v>
      </x:c>
      <x:c r="E4" s="14" t="str">
        <x:v>Stock no programa</x:v>
      </x:c>
      <x:c r="F4" s="14" t="str">
        <x:v>Unidade</x:v>
      </x:c>
      <x:c r="G4" s="14" t="str">
        <x:v>Fornecedor</x:v>
      </x:c>
      <x:c r="H4" s="14" t="str">
        <x:v>Identificação</x:v>
      </x:c>
      <x:c r="I4" s="14" t="str">
        <x:v>Observações</x:v>
      </x:c>
      <x:c r="J4" s="14" t="str">
        <x:v>Falta confirmada?</x:v>
      </x:c>
      <x:c r="K4" s="14" t="str">
        <x:v>Quantidade em falta</x:v>
      </x:c>
      <x:c r="L4" s="14" t="str">
        <x:v>Notas da contagem</x:v>
      </x:c>
    </x:row>
    <x:row r="5">
      <x:c r="A5" s="13" t="str">
        <x:v>Pêndulos</x:v>
      </x:c>
      <x:c r="B5" s="13" t="str">
        <x:v>PEND-CU-12V</x:v>
      </x:c>
      <x:c r="C5" s="13" t="str"/>
      <x:c r="D5" s="16" t="str">
        <x:v>Pêndulos de Cobre 12 Vãos</x:v>
      </x:c>
      <x:c r="E5" s="15" t="n">
        <x:v>50</x:v>
      </x:c>
      <x:c r="F5" s="13" t="str">
        <x:v>un</x:v>
      </x:c>
      <x:c r="G5" s="13" t="str"/>
      <x:c r="H5" s="13" t="str">
        <x:v>Muito provável</x:v>
      </x:c>
      <x:c r="I5" s="16" t="str">
        <x:v>Pêndulos completos indicados no programa.</x:v>
      </x:c>
      <x:c r="J5" s="13" t="str">
        <x:v>Por confirmar</x:v>
      </x:c>
      <x:c r="K5" s="15"/>
      <x:c r="L5" s="13" t="str"/>
    </x:row>
    <x:row r="6">
      <x:c r="A6" s="13" t="str">
        <x:v>Pêndulos</x:v>
      </x:c>
      <x:c r="B6" s="13" t="str">
        <x:v>640</x:v>
      </x:c>
      <x:c r="C6" s="13" t="str">
        <x:v>75113182</x:v>
      </x:c>
      <x:c r="D6" s="16" t="str">
        <x:v>TERMINAL PARA PÊNDULO DE 12 mm2</x:v>
      </x:c>
      <x:c r="E6" s="15" t="n">
        <x:v>400</x:v>
      </x:c>
      <x:c r="F6" s="13" t="str">
        <x:v>un</x:v>
      </x:c>
      <x:c r="G6" s="13" t="str">
        <x:v>DTE Pampilhosa</x:v>
      </x:c>
      <x:c r="H6" s="13" t="str">
        <x:v>Relacionado</x:v>
      </x:c>
      <x:c r="I6" s="16" t="str">
        <x:v>Terminal para pêndulo; confirmar se também desapareceu.</x:v>
      </x:c>
      <x:c r="J6" s="13" t="str">
        <x:v>Por confirmar</x:v>
      </x:c>
      <x:c r="K6" s="15"/>
      <x:c r="L6" s="13" t="str"/>
    </x:row>
    <x:row r="7">
      <x:c r="A7" s="13" t="str">
        <x:v>Pêndulos</x:v>
      </x:c>
      <x:c r="B7" s="13" t="str">
        <x:v>298</x:v>
      </x:c>
      <x:c r="C7" s="13" t="str">
        <x:v>4027091</x:v>
      </x:c>
      <x:c r="D7" s="16" t="str">
        <x:v>ANEL EM FORMA DE OITO PARA PÊNDULO FIXO</x:v>
      </x:c>
      <x:c r="E7" s="15" t="n">
        <x:v>197</x:v>
      </x:c>
      <x:c r="F7" s="13" t="str">
        <x:v>un</x:v>
      </x:c>
      <x:c r="G7" s="13" t="str">
        <x:v>Domingos da Silva Teixeira, S.A.</x:v>
      </x:c>
      <x:c r="H7" s="13" t="str">
        <x:v>Relacionado</x:v>
      </x:c>
      <x:c r="I7" s="16" t="str">
        <x:v>Anel para pêndulo fixo; confirmar por contagem.</x:v>
      </x:c>
      <x:c r="J7" s="13" t="str">
        <x:v>Por confirmar</x:v>
      </x:c>
      <x:c r="K7" s="15"/>
      <x:c r="L7" s="13" t="str"/>
    </x:row>
    <x:row r="8">
      <x:c r="A8" s="13" t="str">
        <x:v>Pêndulos</x:v>
      </x:c>
      <x:c r="B8" s="13" t="str">
        <x:v>293B</x:v>
      </x:c>
      <x:c r="C8" s="13" t="str">
        <x:v>4043600</x:v>
      </x:c>
      <x:c r="D8" s="16" t="str">
        <x:v>CAVALEIRO PARA PÊNDULO (CABOS Bz 65 a 95mm2)</x:v>
      </x:c>
      <x:c r="E8" s="15" t="n">
        <x:v>147</x:v>
      </x:c>
      <x:c r="F8" s="13" t="str">
        <x:v>un</x:v>
      </x:c>
      <x:c r="G8" s="13" t="str">
        <x:v>Domingos da Silva Teixeira, S.A.</x:v>
      </x:c>
      <x:c r="H8" s="13" t="str">
        <x:v>Relacionado</x:v>
      </x:c>
      <x:c r="I8" s="16" t="str">
        <x:v>Cavaleiro para pêndulo; confirmar por contagem.</x:v>
      </x:c>
      <x:c r="J8" s="13" t="str">
        <x:v>Por confirmar</x:v>
      </x:c>
      <x:c r="K8" s="15"/>
      <x:c r="L8" s="13" t="str"/>
    </x:row>
    <x:row r="9">
      <x:c r="A9" s="13" t="str">
        <x:v>Fios de pêndulos</x:v>
      </x:c>
      <x:c r="B9" s="13" t="str">
        <x:v>9V</x:v>
      </x:c>
      <x:c r="C9" s="13" t="str">
        <x:v>4032267</x:v>
      </x:c>
      <x:c r="D9" s="16" t="str">
        <x:v>CABO DE Bz 12MM2, TORÇÃO ESQUERDA, COM 7 FIOS DE D=0,65MM + 6X7 FIOS DE D=0,54MM [12mm2]</x:v>
      </x:c>
      <x:c r="E9" s="15" t="n">
        <x:v>300</x:v>
      </x:c>
      <x:c r="F9" s="13" t="str">
        <x:v>m</x:v>
      </x:c>
      <x:c r="G9" s="13" t="str">
        <x:v>DTE Pampilhosa</x:v>
      </x:c>
      <x:c r="H9" s="13" t="str">
        <x:v>Muito provável</x:v>
      </x:c>
      <x:c r="I9" s="16" t="str">
        <x:v>Cabo de bronze 12 mm² normalmente associado aos pêndulos; stock em metros.</x:v>
      </x:c>
      <x:c r="J9" s="13" t="str">
        <x:v>Por confirmar</x:v>
      </x:c>
      <x:c r="K9" s="15"/>
      <x:c r="L9" s="13" t="str"/>
    </x:row>
    <x:row r="10">
      <x:c r="A10" s="13" t="str">
        <x:v>Fios/vara de terra</x:v>
      </x:c>
      <x:c r="B10" s="13" t="str">
        <x:v>VaraTerra</x:v>
      </x:c>
      <x:c r="C10" s="13" t="str"/>
      <x:c r="D10" s="16" t="str">
        <x:v>Vara de Terra</x:v>
      </x:c>
      <x:c r="E10" s="15" t="n">
        <x:v>2</x:v>
      </x:c>
      <x:c r="F10" s="13" t="str">
        <x:v>un</x:v>
      </x:c>
      <x:c r="G10" s="13" t="str"/>
      <x:c r="H10" s="13" t="str">
        <x:v>Possível</x:v>
      </x:c>
      <x:c r="I10" s="16" t="str">
        <x:v>Vara de terra; não é fio. Incluída porque a designação dada é ambígua.</x:v>
      </x:c>
      <x:c r="J10" s="13" t="str">
        <x:v>Por confirmar</x:v>
      </x:c>
      <x:c r="K10" s="15"/>
      <x:c r="L10" s="13" t="str"/>
    </x:row>
    <x:row r="11">
      <x:c r="A11" s="13" t="str">
        <x:v>Fios/vara de terra</x:v>
      </x:c>
      <x:c r="B11" s="13" t="str">
        <x:v>9123100211</x:v>
      </x:c>
      <x:c r="C11" s="13" t="str"/>
      <x:c r="D11" s="16" t="str">
        <x:v>Elétrodo de Terra ET250</x:v>
      </x:c>
      <x:c r="E11" s="15" t="n">
        <x:v>360</x:v>
      </x:c>
      <x:c r="F11" s="13" t="str">
        <x:v>un</x:v>
      </x:c>
      <x:c r="G11" s="13" t="str">
        <x:v>Jobasi - Aces. Elect. e Bronzes, SA</x:v>
      </x:c>
      <x:c r="H11" s="13" t="str">
        <x:v>Possível</x:v>
      </x:c>
      <x:c r="I11" s="16" t="str">
        <x:v>Elétrodo de terra ET250; confirmar se era este material.</x:v>
      </x:c>
      <x:c r="J11" s="13" t="str">
        <x:v>Por confirmar</x:v>
      </x:c>
      <x:c r="K11" s="15"/>
      <x:c r="L11" s="13" t="str"/>
    </x:row>
    <x:row r="12">
      <x:c r="A12" s="13" t="str">
        <x:v>Fios/vara de terra</x:v>
      </x:c>
      <x:c r="B12" s="13" t="str">
        <x:v>9113100242</x:v>
      </x:c>
      <x:c r="C12" s="13" t="str">
        <x:v>1105</x:v>
      </x:c>
      <x:c r="D12" s="16" t="str">
        <x:v>Uniao p/eletrodo terra UT5/8´´ Aco Cobreada</x:v>
      </x:c>
      <x:c r="E12" s="15" t="n">
        <x:v>180</x:v>
      </x:c>
      <x:c r="F12" s="13" t="str">
        <x:v>un</x:v>
      </x:c>
      <x:c r="G12" s="13" t="str">
        <x:v>Jobasi - Aces. Elect. e Bronzes, SA</x:v>
      </x:c>
      <x:c r="H12" s="13" t="str">
        <x:v>Possível</x:v>
      </x:c>
      <x:c r="I12" s="16" t="str">
        <x:v>União para elétrodo de terra, SAP 1105.</x:v>
      </x:c>
      <x:c r="J12" s="13" t="str">
        <x:v>Por confirmar</x:v>
      </x:c>
      <x:c r="K12" s="15"/>
      <x:c r="L12" s="13" t="str"/>
    </x:row>
    <x:row r="13">
      <x:c r="A13" s="13" t="str">
        <x:v>Fios/vara de terra</x:v>
      </x:c>
      <x:c r="B13" s="13" t="str">
        <x:v>4004766</x:v>
      </x:c>
      <x:c r="C13" s="13" t="str">
        <x:v>4004766</x:v>
      </x:c>
      <x:c r="D13" s="16" t="str">
        <x:v>UNIAO P/ELECTRODO TERRA UT 5/8" ACO COBR</x:v>
      </x:c>
      <x:c r="E13" s="15" t="n">
        <x:v>0</x:v>
      </x:c>
      <x:c r="F13" s="13" t="str">
        <x:v>un</x:v>
      </x:c>
      <x:c r="G13" s="13" t="str">
        <x:v>Jobasi - Aces. Elect. e Bronzes, SA</x:v>
      </x:c>
      <x:c r="H13" s="13" t="str">
        <x:v>Possível</x:v>
      </x:c>
      <x:c r="I13" s="16" t="str">
        <x:v>Outra referência de união para elétrodo; stock atual zero.</x:v>
      </x:c>
      <x:c r="J13" s="13" t="str">
        <x:v>Por confirmar</x:v>
      </x:c>
      <x:c r="K13" s="15"/>
      <x:c r="L13" s="13" t="str"/>
    </x:row>
    <x:row r="14">
      <x:c r="A14" s="13" t="str">
        <x:v>Fios/vara de terra</x:v>
      </x:c>
      <x:c r="B14" s="13" t="str">
        <x:v>4002623</x:v>
      </x:c>
      <x:c r="C14" s="13" t="str">
        <x:v>4002623</x:v>
      </x:c>
      <x:c r="D14" s="16" t="str">
        <x:v>ABRACAD.P/ELECTRODO 5/8 RCC16 EM BRONZE</x:v>
      </x:c>
      <x:c r="E14" s="15" t="n">
        <x:v>0</x:v>
      </x:c>
      <x:c r="F14" s="13" t="str">
        <x:v>un</x:v>
      </x:c>
      <x:c r="G14" s="13" t="str">
        <x:v>Jobasi - Aces. Elect. e Bronzes, SA</x:v>
      </x:c>
      <x:c r="H14" s="13" t="str">
        <x:v>Relacionado</x:v>
      </x:c>
      <x:c r="I14" s="16" t="str">
        <x:v>Braçadeira para elétrodo 5/8; não é fio.</x:v>
      </x:c>
      <x:c r="J14" s="13" t="str">
        <x:v>Por confirmar</x:v>
      </x:c>
      <x:c r="K14" s="15"/>
      <x:c r="L14" s="13" t="str"/>
    </x:row>
    <x:row r="15">
      <x:c r="A15" s="13" t="str">
        <x:v>3 rolos de fio de cobre</x:v>
      </x:c>
      <x:c r="B15" s="13" t="str">
        <x:v>9S</x:v>
      </x:c>
      <x:c r="C15" s="13" t="str">
        <x:v>4026592</x:v>
      </x:c>
      <x:c r="D15" s="16" t="str">
        <x:v>FIO DE CONTACTO 107MM2, EM Cu-ETP DURO, TROLLEY RANHURADO [107mm2]</x:v>
      </x:c>
      <x:c r="E15" s="15" t="n">
        <x:v>2093</x:v>
      </x:c>
      <x:c r="F15" s="13" t="str">
        <x:v>m</x:v>
      </x:c>
      <x:c r="G15" s="13" t="str">
        <x:v>Stock inicial (ajuste)</x:v>
      </x:c>
      <x:c r="H15" s="13" t="str">
        <x:v>Possível</x:v>
      </x:c>
      <x:c r="I15" s="16" t="str">
        <x:v>Fio de contacto 107 mm²; o programa controla metros, não rolos.</x:v>
      </x:c>
      <x:c r="J15" s="13" t="str">
        <x:v>Por confirmar</x:v>
      </x:c>
      <x:c r="K15" s="15"/>
      <x:c r="L15" s="13" t="str"/>
    </x:row>
    <x:row r="16">
      <x:c r="A16" s="13" t="str">
        <x:v>3 rolos de fio de cobre</x:v>
      </x:c>
      <x:c r="B16" s="13" t="str">
        <x:v>9P</x:v>
      </x:c>
      <x:c r="C16" s="13" t="str">
        <x:v>75184021</x:v>
      </x:c>
      <x:c r="D16" s="16" t="str">
        <x:v>CABO DE COBRE FLEXÍVEL 95MM2, COM 37X7 FIOS DE D=0,70MM [95mm2]</x:v>
      </x:c>
      <x:c r="E16" s="15" t="n">
        <x:v>80</x:v>
      </x:c>
      <x:c r="F16" s="13" t="str">
        <x:v>m</x:v>
      </x:c>
      <x:c r="G16" s="13" t="str">
        <x:v>DTE Pampilhosa</x:v>
      </x:c>
      <x:c r="H16" s="13" t="str">
        <x:v>Possível</x:v>
      </x:c>
      <x:c r="I16" s="16" t="str">
        <x:v>Cabo de cobre flexível 95 mm²; stock em metros.</x:v>
      </x:c>
      <x:c r="J16" s="13" t="str">
        <x:v>Por confirmar</x:v>
      </x:c>
      <x:c r="K16" s="15"/>
      <x:c r="L16" s="13" t="str"/>
    </x:row>
    <x:row r="17">
      <x:c r="A17" s="13" t="str">
        <x:v>3 rolos de fio de cobre</x:v>
      </x:c>
      <x:c r="B17" s="13" t="str">
        <x:v>9G</x:v>
      </x:c>
      <x:c r="C17" s="13" t="str">
        <x:v>4026591</x:v>
      </x:c>
      <x:c r="D17" s="16" t="str">
        <x:v>CABO DE BRONZE 65MM2, TORÇÃO-ESQUERDA, COM D=10,5MM E 19 FIOS DE D=2,1MM [65mm2]</x:v>
      </x:c>
      <x:c r="E17" s="15" t="n">
        <x:v>2171</x:v>
      </x:c>
      <x:c r="F17" s="13" t="str">
        <x:v>m</x:v>
      </x:c>
      <x:c r="G17" s="13" t="str">
        <x:v>Sacyr</x:v>
      </x:c>
      <x:c r="H17" s="13" t="str">
        <x:v>Possível</x:v>
      </x:c>
      <x:c r="I17" s="16" t="str">
        <x:v>Cabo de bronze 65 mm²; stock em metros.</x:v>
      </x:c>
      <x:c r="J17" s="13" t="str">
        <x:v>Por confirmar</x:v>
      </x:c>
      <x:c r="K17" s="15"/>
      <x:c r="L17" s="13" t="str"/>
    </x:row>
    <x:row r="18">
      <x:c r="A18" s="13" t="str">
        <x:v>3 rolos de fio de cobre</x:v>
      </x:c>
      <x:c r="B18" s="13" t="str">
        <x:v>9V</x:v>
      </x:c>
      <x:c r="C18" s="13" t="str">
        <x:v>4032267</x:v>
      </x:c>
      <x:c r="D18" s="16" t="str">
        <x:v>CABO DE Bz 12MM2, TORÇÃO ESQUERDA, COM 7 FIOS DE D=0,65MM + 6X7 FIOS DE D=0,54MM [12mm2]</x:v>
      </x:c>
      <x:c r="E18" s="15" t="n">
        <x:v>300</x:v>
      </x:c>
      <x:c r="F18" s="13" t="str">
        <x:v>m</x:v>
      </x:c>
      <x:c r="G18" s="13" t="str">
        <x:v>DTE Pampilhosa</x:v>
      </x:c>
      <x:c r="H18" s="13" t="str">
        <x:v>Possível</x:v>
      </x:c>
      <x:c r="I18" s="16" t="str">
        <x:v>Cabo de bronze 12 mm²; poderá coincidir com o fio de pêndulos.</x:v>
      </x:c>
      <x:c r="J18" s="13" t="str">
        <x:v>Por confirmar</x:v>
      </x:c>
      <x:c r="K18" s="15"/>
      <x:c r="L18" s="13" t="str"/>
    </x:row>
    <x:row r="19">
      <x:c r="A19" s="13" t="str">
        <x:v>3 rolos de fio de cobre</x:v>
      </x:c>
      <x:c r="B19" s="13" t="str">
        <x:v>BOBINE-FC-1489</x:v>
      </x:c>
      <x:c r="C19" s="13" t="str"/>
      <x:c r="D19" s="16" t="str">
        <x:v>Bobine de Fio de Contacto 1489m (1.417 kg)</x:v>
      </x:c>
      <x:c r="E19" s="15" t="n">
        <x:v>1417</x:v>
      </x:c>
      <x:c r="F19" s="13" t="str">
        <x:v>kg</x:v>
      </x:c>
      <x:c r="G19" s="13" t="str"/>
      <x:c r="H19" s="13" t="str">
        <x:v>Possível</x:v>
      </x:c>
      <x:c r="I19" s="16" t="str">
        <x:v>Bobine identificada por 1.489 m / 1.417 kg; confirmar se corresponde aos rolos.</x:v>
      </x:c>
      <x:c r="J19" s="13" t="str">
        <x:v>Por confirmar</x:v>
      </x:c>
      <x:c r="K19" s="15"/>
      <x:c r="L19" s="13" t="str"/>
    </x:row>
    <x:row r="20">
      <x:c r="A20" s="13" t="str">
        <x:v>Tesouras de corte</x:v>
      </x:c>
      <x:c r="B20" s="13" t="str">
        <x:v>TD1001</x:v>
      </x:c>
      <x:c r="C20" s="13" t="str"/>
      <x:c r="D20" s="16" t="str">
        <x:v>Tesoura c/ Cabo 24'' TD 1001</x:v>
      </x:c>
      <x:c r="E20" s="15" t="n">
        <x:v>2</x:v>
      </x:c>
      <x:c r="F20" s="13" t="str">
        <x:v>un</x:v>
      </x:c>
      <x:c r="G20" s="13" t="str">
        <x:v>Ferramaq</x:v>
      </x:c>
      <x:c r="H20" s="13" t="str">
        <x:v>Muito provável</x:v>
      </x:c>
      <x:c r="I20" s="16" t="str">
        <x:v>Tesoura com cabo de 24 polegadas.</x:v>
      </x:c>
      <x:c r="J20" s="13" t="str">
        <x:v>Por confirmar</x:v>
      </x:c>
      <x:c r="K20" s="15"/>
      <x:c r="L20" s="13" t="str"/>
    </x:row>
    <x:row r="21">
      <x:c r="A21" s="13" t="str">
        <x:v>Tesouras de corte</x:v>
      </x:c>
      <x:c r="B21" s="13" t="str">
        <x:v>4015731</x:v>
      </x:c>
      <x:c r="C21" s="13" t="str">
        <x:v>4015731</x:v>
      </x:c>
      <x:c r="D21" s="16" t="str">
        <x:v>Tesoura Corta Corta Tubos Mlcp 16-32</x:v>
      </x:c>
      <x:c r="E21" s="15" t="n">
        <x:v>2</x:v>
      </x:c>
      <x:c r="F21" s="13" t="str">
        <x:v>un</x:v>
      </x:c>
      <x:c r="G21" s="13" t="str">
        <x:v>SAP TMv 101</x:v>
      </x:c>
      <x:c r="H21" s="13" t="str">
        <x:v>Possível</x:v>
      </x:c>
      <x:c r="I21" s="16" t="str">
        <x:v>Tesoura corta-tubos 16–32; confirmar modelo.</x:v>
      </x:c>
      <x:c r="J21" s="13" t="str">
        <x:v>Por confirmar</x:v>
      </x:c>
      <x:c r="K21" s="15"/>
      <x:c r="L21" s="13" t="str"/>
    </x:row>
    <x:row r="22">
      <x:c r="A22" s="13" t="str">
        <x:v>Tesouras de corte</x:v>
      </x:c>
      <x:c r="B22" s="13" t="str">
        <x:v>TES-001</x:v>
      </x:c>
      <x:c r="C22" s="13" t="str"/>
      <x:c r="D22" s="16" t="str">
        <x:v>TESOURA CORTAR CHAPA CORTE RETO MILWAUKEE</x:v>
      </x:c>
      <x:c r="E22" s="15" t="n">
        <x:v>1</x:v>
      </x:c>
      <x:c r="F22" s="13" t="str">
        <x:v>un</x:v>
      </x:c>
      <x:c r="G22" s="13" t="str">
        <x:v>Ferramaq</x:v>
      </x:c>
      <x:c r="H22" s="13" t="str">
        <x:v>Possível</x:v>
      </x:c>
      <x:c r="I22" s="16" t="str">
        <x:v>Tesoura de cortar chapa Milwaukee.</x:v>
      </x:c>
      <x:c r="J22" s="13" t="str">
        <x:v>Por confirmar</x:v>
      </x:c>
      <x:c r="K22" s="15"/>
      <x:c r="L22" s="13" t="str"/>
    </x:row>
    <x:row r="23">
      <x:c r="A23" s="13" t="str">
        <x:v>Máquinas e acessórios Hilti</x:v>
      </x:c>
      <x:c r="B23" s="13" t="str">
        <x:v>2241983</x:v>
      </x:c>
      <x:c r="C23" s="13" t="str"/>
      <x:c r="D23" s="16" t="str">
        <x:v>Ponteiro TE-YX SM 36</x:v>
      </x:c>
      <x:c r="E23" s="15" t="n">
        <x:v>1</x:v>
      </x:c>
      <x:c r="F23" s="13" t="str">
        <x:v>un</x:v>
      </x:c>
      <x:c r="G23" s="13" t="str">
        <x:v>Hilti</x:v>
      </x:c>
      <x:c r="H23" s="13" t="str">
        <x:v>Relacionado</x:v>
      </x:c>
      <x:c r="I23" s="16" t="str">
        <x:v>Acessório/equipamento Hilti para confirmar por contagem.</x:v>
      </x:c>
      <x:c r="J23" s="13" t="str">
        <x:v>Por confirmar</x:v>
      </x:c>
      <x:c r="K23" s="15"/>
      <x:c r="L23" s="13" t="str"/>
    </x:row>
    <x:row r="24">
      <x:c r="A24" s="13" t="str">
        <x:v>Máquinas e acessórios Hilti</x:v>
      </x:c>
      <x:c r="B24" s="13" t="str">
        <x:v>2316496</x:v>
      </x:c>
      <x:c r="C24" s="13" t="str"/>
      <x:c r="D24" s="16" t="str">
        <x:v>Carregador Bateria C 4-22 230V c</x:v>
      </x:c>
      <x:c r="E24" s="15" t="n">
        <x:v>1</x:v>
      </x:c>
      <x:c r="F24" s="13" t="str">
        <x:v>un</x:v>
      </x:c>
      <x:c r="G24" s="13" t="str">
        <x:v>Hilti</x:v>
      </x:c>
      <x:c r="H24" s="13" t="str">
        <x:v>Relacionado</x:v>
      </x:c>
      <x:c r="I24" s="16" t="str">
        <x:v>Acessório/equipamento Hilti para confirmar por contagem.</x:v>
      </x:c>
      <x:c r="J24" s="13" t="str">
        <x:v>Por confirmar</x:v>
      </x:c>
      <x:c r="K24" s="15"/>
      <x:c r="L24" s="13" t="str"/>
    </x:row>
    <x:row r="25">
      <x:c r="A25" s="13" t="str">
        <x:v>Máquinas e acessórios Hilti</x:v>
      </x:c>
      <x:c r="B25" s="13" t="str">
        <x:v>2251355</x:v>
      </x:c>
      <x:c r="C25" s="13" t="str"/>
      <x:c r="D25" s="16" t="str">
        <x:v>Bateria B 22-110 Li-ion</x:v>
      </x:c>
      <x:c r="E25" s="15" t="n">
        <x:v>2</x:v>
      </x:c>
      <x:c r="F25" s="13" t="str">
        <x:v>un</x:v>
      </x:c>
      <x:c r="G25" s="13" t="str">
        <x:v>Hilti</x:v>
      </x:c>
      <x:c r="H25" s="13" t="str">
        <x:v>Relacionado</x:v>
      </x:c>
      <x:c r="I25" s="16" t="str">
        <x:v>Acessório/equipamento Hilti para confirmar por contagem.</x:v>
      </x:c>
      <x:c r="J25" s="13" t="str">
        <x:v>Por confirmar</x:v>
      </x:c>
      <x:c r="K25" s="15"/>
      <x:c r="L25" s="13" t="str"/>
    </x:row>
    <x:row r="26">
      <x:c r="A26" s="13" t="str">
        <x:v>Máquinas e acessórios Hilti</x:v>
      </x:c>
      <x:c r="B26" s="13" t="str">
        <x:v>2403724</x:v>
      </x:c>
      <x:c r="C26" s="13" t="str"/>
      <x:c r="D26" s="16" t="str">
        <x:v>KIT TE 500-AVR</x:v>
      </x:c>
      <x:c r="E26" s="15" t="n">
        <x:v>0</x:v>
      </x:c>
      <x:c r="F26" s="13" t="str">
        <x:v>un</x:v>
      </x:c>
      <x:c r="G26" s="13" t="str"/>
      <x:c r="H26" s="13" t="str">
        <x:v>Relacionado</x:v>
      </x:c>
      <x:c r="I26" s="16" t="str">
        <x:v>Acessório/equipamento Hilti para confirmar por contagem.</x:v>
      </x:c>
      <x:c r="J26" s="13" t="str">
        <x:v>Por confirmar</x:v>
      </x:c>
      <x:c r="K26" s="15"/>
      <x:c r="L26" s="13" t="str"/>
    </x:row>
    <x:row r="27">
      <x:c r="A27" s="13" t="str">
        <x:v>Máquinas e acessórios Hilti</x:v>
      </x:c>
      <x:c r="B27" s="13" t="str">
        <x:v>2146841</x:v>
      </x:c>
      <x:c r="C27" s="13" t="str"/>
      <x:c r="D27" s="16" t="str">
        <x:v>Martelo Demolidor TE 500-AVR 23 0000321896</x:v>
      </x:c>
      <x:c r="E27" s="15" t="n">
        <x:v>1</x:v>
      </x:c>
      <x:c r="F27" s="13" t="str">
        <x:v>un</x:v>
      </x:c>
      <x:c r="G27" s="13" t="str">
        <x:v>Hilti</x:v>
      </x:c>
      <x:c r="H27" s="13" t="str">
        <x:v>Muito provável</x:v>
      </x:c>
      <x:c r="I27" s="16" t="str">
        <x:v>Máquina indicada como provavelmente roubada.</x:v>
      </x:c>
      <x:c r="J27" s="13" t="str">
        <x:v>Por confirmar</x:v>
      </x:c>
      <x:c r="K27" s="15"/>
      <x:c r="L27" s="13" t="str"/>
    </x:row>
    <x:row r="28">
      <x:c r="A28" s="13" t="str">
        <x:v>Máquinas e acessórios Hilti</x:v>
      </x:c>
      <x:c r="B28" s="13" t="str">
        <x:v>5011069</x:v>
      </x:c>
      <x:c r="C28" s="13" t="str">
        <x:v>5011069</x:v>
      </x:c>
      <x:c r="D28" s="16" t="str">
        <x:v>Carregador Bateria Hilti</x:v>
      </x:c>
      <x:c r="E28" s="15" t="n">
        <x:v>2</x:v>
      </x:c>
      <x:c r="F28" s="13" t="str">
        <x:v>un</x:v>
      </x:c>
      <x:c r="G28" s="13" t="str">
        <x:v>SAP TMv 101</x:v>
      </x:c>
      <x:c r="H28" s="13" t="str">
        <x:v>Relacionado</x:v>
      </x:c>
      <x:c r="I28" s="16" t="str">
        <x:v>Acessório/equipamento Hilti para confirmar por contagem.</x:v>
      </x:c>
      <x:c r="J28" s="13" t="str">
        <x:v>Por confirmar</x:v>
      </x:c>
      <x:c r="K28" s="15"/>
      <x:c r="L28" s="13" t="str"/>
    </x:row>
  </x:sheetData>
  <x:mergeCells>
    <x:mergeCell ref="A1:L1"/>
    <x:mergeCell ref="A2:L2"/>
  </x:mergeCells>
  <x:conditionalFormatting sqref="J5:J28">
    <x:cfRule type="containsText" dxfId="0" priority="1" operator="containsText" text="Sim"/>
    <x:cfRule type="containsText" dxfId="1" priority="2" operator="containsText" text="Não"/>
    <x:cfRule type="containsText" dxfId="2" priority="3" operator="containsText" text="Por confirmar"/>
  </x:conditionalFormatting>
  <x:dataValidations count="2">
    <x:dataValidation type="list" sqref="J5:J28">
      <x:formula1>"Por confirmar,Sim,Não"</x:formula1>
    </x:dataValidation>
    <x:dataValidation type="whole" operator="greaterThanOrEqual" sqref="K5:K2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5a637d69f648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48" hidden="0" customWidth="1"/>
    <x:col min="5" max="5" width="17" hidden="0" customWidth="1"/>
    <x:col min="6" max="6" width="10" hidden="0" customWidth="1"/>
    <x:col min="7" max="7" width="34" hidden="0" customWidth="1"/>
    <x:col min="8" max="8" width="17" hidden="0" customWidth="1"/>
    <x:col min="9" max="9" width="52" hidden="0" customWidth="1"/>
    <x:col min="10" max="10" width="20" hidden="0" customWidth="1"/>
    <x:col min="11" max="11" width="20" hidden="0" customWidth="1"/>
    <x:col min="12" max="12" width="38" hidden="0" customWidth="1"/>
  </x:cols>
  <x:sheetData>
    <x:row r="1" ht="32" customHeight="1">
      <x:c r="A1" s="11" t="str">
        <x:v>Ferramentas existentes para conferência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8" customHeight="1">
      <x:c r="A2" s="12" t="str">
        <x:v>Levantamento para conferência — data indicada do assalto: 24/07/2026 — este ficheiro NÃO regista saídas de stock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32" customHeight="1">
      <x:c r="A4" s="14" t="str">
        <x:v>Categoria</x:v>
      </x:c>
      <x:c r="B4" s="14" t="str">
        <x:v>Código interno</x:v>
      </x:c>
      <x:c r="C4" s="14" t="str">
        <x:v>Código SAP</x:v>
      </x:c>
      <x:c r="D4" s="14" t="str">
        <x:v>Descrição</x:v>
      </x:c>
      <x:c r="E4" s="14" t="str">
        <x:v>Stock no programa</x:v>
      </x:c>
      <x:c r="F4" s="14" t="str">
        <x:v>Unidade</x:v>
      </x:c>
      <x:c r="G4" s="14" t="str">
        <x:v>Fornecedor</x:v>
      </x:c>
      <x:c r="H4" s="14" t="str">
        <x:v>Identificação</x:v>
      </x:c>
      <x:c r="I4" s="14" t="str">
        <x:v>Observações</x:v>
      </x:c>
      <x:c r="J4" s="14" t="str">
        <x:v>Falta confirmada?</x:v>
      </x:c>
      <x:c r="K4" s="14" t="str">
        <x:v>Quantidade em falta</x:v>
      </x:c>
      <x:c r="L4" s="14" t="str">
        <x:v>Notas da contagem</x:v>
      </x:c>
    </x:row>
    <x:row r="5">
      <x:c r="A5" s="13" t="str">
        <x:v>Ferramentas várias</x:v>
      </x:c>
      <x:c r="B5" s="13" t="str">
        <x:v>944</x:v>
      </x:c>
      <x:c r="C5" s="13" t="str"/>
      <x:c r="D5" s="16" t="str">
        <x:v>944</x:v>
      </x:c>
      <x:c r="E5" s="15" t="n">
        <x:v>1</x:v>
      </x:c>
      <x:c r="F5" s="13" t="str">
        <x:v>un</x:v>
      </x:c>
      <x:c r="G5" s="13" t="str">
        <x:v>Domingos da Silva Teixeira, S.A.</x:v>
      </x:c>
      <x:c r="H5" s="13" t="str">
        <x:v>Por confirmar</x:v>
      </x:c>
      <x:c r="I5" s="16" t="str">
        <x:v>Confirmar fisicamente se falta e preencher a quantidade.</x:v>
      </x:c>
      <x:c r="J5" s="13" t="str">
        <x:v>Por confirmar</x:v>
      </x:c>
      <x:c r="K5" s="15"/>
      <x:c r="L5" s="13" t="str"/>
    </x:row>
    <x:row r="6">
      <x:c r="A6" s="13" t="str">
        <x:v>Ferramentas várias</x:v>
      </x:c>
      <x:c r="B6" s="13" t="str">
        <x:v>ALI-002</x:v>
      </x:c>
      <x:c r="C6" s="13" t="str"/>
      <x:c r="D6" s="16" t="str">
        <x:v>ALICATE A/C CORTE LATERAL 03 180MM</x:v>
      </x:c>
      <x:c r="E6" s="15" t="n">
        <x:v>4</x:v>
      </x:c>
      <x:c r="F6" s="13" t="str">
        <x:v>un</x:v>
      </x:c>
      <x:c r="G6" s="13" t="str">
        <x:v>Ferramaq</x:v>
      </x:c>
      <x:c r="H6" s="13" t="str">
        <x:v>Por confirmar</x:v>
      </x:c>
      <x:c r="I6" s="16" t="str">
        <x:v>Confirmar fisicamente se falta e preencher a quantidade.</x:v>
      </x:c>
      <x:c r="J6" s="13" t="str">
        <x:v>Por confirmar</x:v>
      </x:c>
      <x:c r="K6" s="15"/>
      <x:c r="L6" s="13" t="str"/>
    </x:row>
    <x:row r="7">
      <x:c r="A7" s="13" t="str">
        <x:v>Ferramentas várias</x:v>
      </x:c>
      <x:c r="B7" s="13" t="str">
        <x:v>ALI-001</x:v>
      </x:c>
      <x:c r="C7" s="13" t="str"/>
      <x:c r="D7" s="16" t="str">
        <x:v>ALICATE A/C UNIVERSAL 01 180MM</x:v>
      </x:c>
      <x:c r="E7" s="15" t="n">
        <x:v>2</x:v>
      </x:c>
      <x:c r="F7" s="13" t="str">
        <x:v>un</x:v>
      </x:c>
      <x:c r="G7" s="13" t="str">
        <x:v>Ferramaq</x:v>
      </x:c>
      <x:c r="H7" s="13" t="str">
        <x:v>Por confirmar</x:v>
      </x:c>
      <x:c r="I7" s="16" t="str">
        <x:v>Confirmar fisicamente se falta e preencher a quantidade.</x:v>
      </x:c>
      <x:c r="J7" s="13" t="str">
        <x:v>Por confirmar</x:v>
      </x:c>
      <x:c r="K7" s="15"/>
      <x:c r="L7" s="13" t="str"/>
    </x:row>
    <x:row r="8">
      <x:c r="A8" s="13" t="str">
        <x:v>Ferramentas várias</x:v>
      </x:c>
      <x:c r="B8" s="13" t="str">
        <x:v>281189</x:v>
      </x:c>
      <x:c r="C8" s="13" t="str"/>
      <x:c r="D8" s="16" t="str">
        <x:v>Alicate cravar terminais alumínio</x:v>
      </x:c>
      <x:c r="E8" s="15" t="n">
        <x:v>2</x:v>
      </x:c>
      <x:c r="F8" s="13" t="str">
        <x:v>un</x:v>
      </x:c>
      <x:c r="G8" s="13" t="str">
        <x:v>Equifermaq - Com de Maq e Fer, Lda</x:v>
      </x:c>
      <x:c r="H8" s="13" t="str">
        <x:v>Por confirmar</x:v>
      </x:c>
      <x:c r="I8" s="16" t="str">
        <x:v>Confirmar fisicamente se falta e preencher a quantidade.</x:v>
      </x:c>
      <x:c r="J8" s="13" t="str">
        <x:v>Por confirmar</x:v>
      </x:c>
      <x:c r="K8" s="15"/>
      <x:c r="L8" s="13" t="str"/>
    </x:row>
    <x:row r="9">
      <x:c r="A9" s="13" t="str">
        <x:v>Ferramentas várias</x:v>
      </x:c>
      <x:c r="B9" s="13" t="str">
        <x:v>ALI-003</x:v>
      </x:c>
      <x:c r="C9" s="13" t="str"/>
      <x:c r="D9" s="16" t="str">
        <x:v>ALICATE PRESSÃO BOCA CURVA CR-V 10" MAC</x:v>
      </x:c>
      <x:c r="E9" s="15" t="n">
        <x:v>2</x:v>
      </x:c>
      <x:c r="F9" s="13" t="str">
        <x:v>un</x:v>
      </x:c>
      <x:c r="G9" s="13" t="str">
        <x:v>Ferramaq</x:v>
      </x:c>
      <x:c r="H9" s="13" t="str">
        <x:v>Por confirmar</x:v>
      </x:c>
      <x:c r="I9" s="16" t="str">
        <x:v>Confirmar fisicamente se falta e preencher a quantidade.</x:v>
      </x:c>
      <x:c r="J9" s="13" t="str">
        <x:v>Por confirmar</x:v>
      </x:c>
      <x:c r="K9" s="15"/>
      <x:c r="L9" s="13" t="str"/>
    </x:row>
    <x:row r="10">
      <x:c r="A10" s="13" t="str">
        <x:v>Ferramentas várias</x:v>
      </x:c>
      <x:c r="B10" s="13" t="str">
        <x:v>2251355</x:v>
      </x:c>
      <x:c r="C10" s="13" t="str"/>
      <x:c r="D10" s="16" t="str">
        <x:v>Bateria B 22-110 Li-ion</x:v>
      </x:c>
      <x:c r="E10" s="15" t="n">
        <x:v>2</x:v>
      </x:c>
      <x:c r="F10" s="13" t="str">
        <x:v>un</x:v>
      </x:c>
      <x:c r="G10" s="13" t="str">
        <x:v>Hilti</x:v>
      </x:c>
      <x:c r="H10" s="13" t="str">
        <x:v>Por confirmar</x:v>
      </x:c>
      <x:c r="I10" s="16" t="str">
        <x:v>Confirmar fisicamente se falta e preencher a quantidade.</x:v>
      </x:c>
      <x:c r="J10" s="13" t="str">
        <x:v>Por confirmar</x:v>
      </x:c>
      <x:c r="K10" s="15"/>
      <x:c r="L10" s="13" t="str"/>
    </x:row>
    <x:row r="11">
      <x:c r="A11" s="13" t="str">
        <x:v>Ferramentas várias</x:v>
      </x:c>
      <x:c r="B11" s="13" t="str">
        <x:v>2120</x:v>
      </x:c>
      <x:c r="C11" s="13" t="str"/>
      <x:c r="D11" s="16" t="str">
        <x:v>Berbequim Aparafusador 18v  4,0Ah Bosch</x:v>
      </x:c>
      <x:c r="E11" s="15" t="n">
        <x:v>1</x:v>
      </x:c>
      <x:c r="F11" s="13" t="str">
        <x:v>un</x:v>
      </x:c>
      <x:c r="G11" s="13" t="str">
        <x:v>Domingos da Silva Teixeira, S.A.</x:v>
      </x:c>
      <x:c r="H11" s="13" t="str">
        <x:v>Por confirmar</x:v>
      </x:c>
      <x:c r="I11" s="16" t="str">
        <x:v>Confirmar fisicamente se falta e preencher a quantidade.</x:v>
      </x:c>
      <x:c r="J11" s="13" t="str">
        <x:v>Por confirmar</x:v>
      </x:c>
      <x:c r="K11" s="15"/>
      <x:c r="L11" s="13" t="str"/>
    </x:row>
    <x:row r="12">
      <x:c r="A12" s="13" t="str">
        <x:v>Ferramentas várias</x:v>
      </x:c>
      <x:c r="B12" s="13" t="str">
        <x:v>BerbequimMakita</x:v>
      </x:c>
      <x:c r="C12" s="13" t="str"/>
      <x:c r="D12" s="16" t="str">
        <x:v>Berbequim Aparafusador 18v 5.0Ah DDF484RTJ Makita</x:v>
      </x:c>
      <x:c r="E12" s="15" t="n">
        <x:v>2</x:v>
      </x:c>
      <x:c r="F12" s="13" t="str">
        <x:v>un</x:v>
      </x:c>
      <x:c r="G12" s="13" t="str">
        <x:v>Ferramaq</x:v>
      </x:c>
      <x:c r="H12" s="13" t="str">
        <x:v>Por confirmar</x:v>
      </x:c>
      <x:c r="I12" s="16" t="str">
        <x:v>Confirmar fisicamente se falta e preencher a quantidade.</x:v>
      </x:c>
      <x:c r="J12" s="13" t="str">
        <x:v>Por confirmar</x:v>
      </x:c>
      <x:c r="K12" s="15"/>
      <x:c r="L12" s="13" t="str"/>
    </x:row>
    <x:row r="13">
      <x:c r="A13" s="13" t="str">
        <x:v>Ferramentas várias</x:v>
      </x:c>
      <x:c r="B13" s="13" t="str">
        <x:v>BombaÁgua</x:v>
      </x:c>
      <x:c r="C13" s="13" t="str"/>
      <x:c r="D13" s="16" t="str">
        <x:v>Bomba Submersivel p/aguas Suja 1200w 19500L/H Inox ECC Pro 300 SPID'O</x:v>
      </x:c>
      <x:c r="E13" s="15" t="n">
        <x:v>1</x:v>
      </x:c>
      <x:c r="F13" s="13" t="str">
        <x:v>un</x:v>
      </x:c>
      <x:c r="G13" s="13" t="str">
        <x:v>Ferramaq</x:v>
      </x:c>
      <x:c r="H13" s="13" t="str">
        <x:v>Por confirmar</x:v>
      </x:c>
      <x:c r="I13" s="16" t="str">
        <x:v>Confirmar fisicamente se falta e preencher a quantidade.</x:v>
      </x:c>
      <x:c r="J13" s="13" t="str">
        <x:v>Por confirmar</x:v>
      </x:c>
      <x:c r="K13" s="15"/>
      <x:c r="L13" s="13" t="str"/>
    </x:row>
    <x:row r="14">
      <x:c r="A14" s="13" t="str">
        <x:v>Ferramentas várias</x:v>
      </x:c>
      <x:c r="B14" s="13" t="str">
        <x:v>2316496</x:v>
      </x:c>
      <x:c r="C14" s="13" t="str"/>
      <x:c r="D14" s="16" t="str">
        <x:v>Carregador Bateria C 4-22 230V c</x:v>
      </x:c>
      <x:c r="E14" s="15" t="n">
        <x:v>1</x:v>
      </x:c>
      <x:c r="F14" s="13" t="str">
        <x:v>un</x:v>
      </x:c>
      <x:c r="G14" s="13" t="str">
        <x:v>Hilti</x:v>
      </x:c>
      <x:c r="H14" s="13" t="str">
        <x:v>Por confirmar</x:v>
      </x:c>
      <x:c r="I14" s="16" t="str">
        <x:v>Confirmar fisicamente se falta e preencher a quantidade.</x:v>
      </x:c>
      <x:c r="J14" s="13" t="str">
        <x:v>Por confirmar</x:v>
      </x:c>
      <x:c r="K14" s="15"/>
      <x:c r="L14" s="13" t="str"/>
    </x:row>
    <x:row r="15">
      <x:c r="A15" s="13" t="str">
        <x:v>Ferramentas várias</x:v>
      </x:c>
      <x:c r="B15" s="13" t="str">
        <x:v>200145</x:v>
      </x:c>
      <x:c r="C15" s="13" t="str"/>
      <x:c r="D15" s="16" t="str">
        <x:v>Ch cx Estrias-longa 1/2-30-F5497730</x:v>
      </x:c>
      <x:c r="E15" s="15" t="n">
        <x:v>1</x:v>
      </x:c>
      <x:c r="F15" s="13" t="str">
        <x:v>un</x:v>
      </x:c>
      <x:c r="G15" s="13" t="str">
        <x:v>Equifermaq - Com de Maq e Fer, Lda</x:v>
      </x:c>
      <x:c r="H15" s="13" t="str">
        <x:v>Por confirmar</x:v>
      </x:c>
      <x:c r="I15" s="16" t="str">
        <x:v>Confirmar fisicamente se falta e preencher a quantidade.</x:v>
      </x:c>
      <x:c r="J15" s="13" t="str">
        <x:v>Por confirmar</x:v>
      </x:c>
      <x:c r="K15" s="15"/>
      <x:c r="L15" s="13" t="str"/>
    </x:row>
    <x:row r="16">
      <x:c r="A16" s="13" t="str">
        <x:v>Ferramentas várias</x:v>
      </x:c>
      <x:c r="B16" s="13" t="str">
        <x:v>CBL-001</x:v>
      </x:c>
      <x:c r="C16" s="13" t="str"/>
      <x:c r="D16" s="16" t="str">
        <x:v>CHAVE BOCA E LUNETA EXPERT 17MM</x:v>
      </x:c>
      <x:c r="E16" s="15" t="n">
        <x:v>2</x:v>
      </x:c>
      <x:c r="F16" s="13" t="str">
        <x:v>un</x:v>
      </x:c>
      <x:c r="G16" s="13" t="str">
        <x:v>Ferramaq</x:v>
      </x:c>
      <x:c r="H16" s="13" t="str">
        <x:v>Por confirmar</x:v>
      </x:c>
      <x:c r="I16" s="16" t="str">
        <x:v>Confirmar fisicamente se falta e preencher a quantidade.</x:v>
      </x:c>
      <x:c r="J16" s="13" t="str">
        <x:v>Por confirmar</x:v>
      </x:c>
      <x:c r="K16" s="15"/>
      <x:c r="L16" s="13" t="str"/>
    </x:row>
    <x:row r="17">
      <x:c r="A17" s="13" t="str">
        <x:v>Ferramentas várias</x:v>
      </x:c>
      <x:c r="B17" s="13" t="str">
        <x:v>CBL-002</x:v>
      </x:c>
      <x:c r="C17" s="13" t="str"/>
      <x:c r="D17" s="16" t="str">
        <x:v>CHAVE BOCA E LUNETA EXPERT 19MM</x:v>
      </x:c>
      <x:c r="E17" s="15" t="n">
        <x:v>2</x:v>
      </x:c>
      <x:c r="F17" s="13" t="str">
        <x:v>un</x:v>
      </x:c>
      <x:c r="G17" s="13" t="str">
        <x:v>Ferramaq</x:v>
      </x:c>
      <x:c r="H17" s="13" t="str">
        <x:v>Por confirmar</x:v>
      </x:c>
      <x:c r="I17" s="16" t="str">
        <x:v>Confirmar fisicamente se falta e preencher a quantidade.</x:v>
      </x:c>
      <x:c r="J17" s="13" t="str">
        <x:v>Por confirmar</x:v>
      </x:c>
      <x:c r="K17" s="15"/>
      <x:c r="L17" s="13" t="str"/>
    </x:row>
    <x:row r="18">
      <x:c r="A18" s="13" t="str">
        <x:v>Ferramentas várias</x:v>
      </x:c>
      <x:c r="B18" s="13" t="str">
        <x:v>CCR-001</x:v>
      </x:c>
      <x:c r="C18" s="13" t="str"/>
      <x:c r="D18" s="16" t="str">
        <x:v>CHAVE CRESCENTE AÇO CARBON CR-V 15" 375MM</x:v>
      </x:c>
      <x:c r="E18" s="15" t="n">
        <x:v>2</x:v>
      </x:c>
      <x:c r="F18" s="13" t="str">
        <x:v>un</x:v>
      </x:c>
      <x:c r="G18" s="13" t="str">
        <x:v>Ferramaq</x:v>
      </x:c>
      <x:c r="H18" s="13" t="str">
        <x:v>Por confirmar</x:v>
      </x:c>
      <x:c r="I18" s="16" t="str">
        <x:v>Confirmar fisicamente se falta e preencher a quantidade.</x:v>
      </x:c>
      <x:c r="J18" s="13" t="str">
        <x:v>Por confirmar</x:v>
      </x:c>
      <x:c r="K18" s="15"/>
      <x:c r="L18" s="13" t="str"/>
    </x:row>
    <x:row r="19">
      <x:c r="A19" s="13" t="str">
        <x:v>Ferramentas várias</x:v>
      </x:c>
      <x:c r="B19" s="13" t="str">
        <x:v>CBE-001</x:v>
      </x:c>
      <x:c r="C19" s="13" t="str"/>
      <x:c r="D19" s="16" t="str">
        <x:v>CHAVE DE BOCAS EXPERT 10X11MM</x:v>
      </x:c>
      <x:c r="E19" s="15" t="n">
        <x:v>1</x:v>
      </x:c>
      <x:c r="F19" s="13" t="str">
        <x:v>un</x:v>
      </x:c>
      <x:c r="G19" s="13" t="str">
        <x:v>Ferramaq</x:v>
      </x:c>
      <x:c r="H19" s="13" t="str">
        <x:v>Por confirmar</x:v>
      </x:c>
      <x:c r="I19" s="16" t="str">
        <x:v>Confirmar fisicamente se falta e preencher a quantidade.</x:v>
      </x:c>
      <x:c r="J19" s="13" t="str">
        <x:v>Por confirmar</x:v>
      </x:c>
      <x:c r="K19" s="15"/>
      <x:c r="L19" s="13" t="str"/>
    </x:row>
    <x:row r="20">
      <x:c r="A20" s="13" t="str">
        <x:v>Ferramentas várias</x:v>
      </x:c>
      <x:c r="B20" s="13" t="str">
        <x:v>CB12x13</x:v>
      </x:c>
      <x:c r="C20" s="13" t="str"/>
      <x:c r="D20" s="16" t="str">
        <x:v>Chave de Bocas Expert 12x13mm</x:v>
      </x:c>
      <x:c r="E20" s="15" t="n">
        <x:v>2</x:v>
      </x:c>
      <x:c r="F20" s="13" t="str">
        <x:v>un</x:v>
      </x:c>
      <x:c r="G20" s="13" t="str">
        <x:v>Ferramaq</x:v>
      </x:c>
      <x:c r="H20" s="13" t="str">
        <x:v>Por confirmar</x:v>
      </x:c>
      <x:c r="I20" s="16" t="str">
        <x:v>Confirmar fisicamente se falta e preencher a quantidade.</x:v>
      </x:c>
      <x:c r="J20" s="13" t="str">
        <x:v>Por confirmar</x:v>
      </x:c>
      <x:c r="K20" s="15"/>
      <x:c r="L20" s="13" t="str"/>
    </x:row>
    <x:row r="21">
      <x:c r="A21" s="13" t="str">
        <x:v>Ferramentas várias</x:v>
      </x:c>
      <x:c r="B21" s="13" t="str">
        <x:v>CB14x15</x:v>
      </x:c>
      <x:c r="C21" s="13" t="str"/>
      <x:c r="D21" s="16" t="str">
        <x:v>Chave de Bocas Expert 14x15mm</x:v>
      </x:c>
      <x:c r="E21" s="15" t="n">
        <x:v>2</x:v>
      </x:c>
      <x:c r="F21" s="13" t="str">
        <x:v>un</x:v>
      </x:c>
      <x:c r="G21" s="13" t="str">
        <x:v>Ferramaq</x:v>
      </x:c>
      <x:c r="H21" s="13" t="str">
        <x:v>Por confirmar</x:v>
      </x:c>
      <x:c r="I21" s="16" t="str">
        <x:v>Confirmar fisicamente se falta e preencher a quantidade.</x:v>
      </x:c>
      <x:c r="J21" s="13" t="str">
        <x:v>Por confirmar</x:v>
      </x:c>
      <x:c r="K21" s="15"/>
      <x:c r="L21" s="13" t="str"/>
    </x:row>
    <x:row r="22">
      <x:c r="A22" s="13" t="str">
        <x:v>Ferramentas várias</x:v>
      </x:c>
      <x:c r="B22" s="13" t="str">
        <x:v>CBE-002</x:v>
      </x:c>
      <x:c r="C22" s="13" t="str"/>
      <x:c r="D22" s="16" t="str">
        <x:v>CHAVE DE BOCAS EXPERT 16X17MM</x:v>
      </x:c>
      <x:c r="E22" s="15" t="n">
        <x:v>3</x:v>
      </x:c>
      <x:c r="F22" s="13" t="str">
        <x:v>un</x:v>
      </x:c>
      <x:c r="G22" s="13" t="str">
        <x:v>Ferramaq</x:v>
      </x:c>
      <x:c r="H22" s="13" t="str">
        <x:v>Por confirmar</x:v>
      </x:c>
      <x:c r="I22" s="16" t="str">
        <x:v>Confirmar fisicamente se falta e preencher a quantidade.</x:v>
      </x:c>
      <x:c r="J22" s="13" t="str">
        <x:v>Por confirmar</x:v>
      </x:c>
      <x:c r="K22" s="15"/>
      <x:c r="L22" s="13" t="str"/>
    </x:row>
    <x:row r="23">
      <x:c r="A23" s="13" t="str">
        <x:v>Ferramentas várias</x:v>
      </x:c>
      <x:c r="B23" s="13" t="str">
        <x:v>CBE-003</x:v>
      </x:c>
      <x:c r="C23" s="13" t="str"/>
      <x:c r="D23" s="16" t="str">
        <x:v>CHAVE DE BOCAS EXPERT 18X19MM</x:v>
      </x:c>
      <x:c r="E23" s="15" t="n">
        <x:v>2</x:v>
      </x:c>
      <x:c r="F23" s="13" t="str">
        <x:v>un</x:v>
      </x:c>
      <x:c r="G23" s="13" t="str">
        <x:v>Ferramaq</x:v>
      </x:c>
      <x:c r="H23" s="13" t="str">
        <x:v>Por confirmar</x:v>
      </x:c>
      <x:c r="I23" s="16" t="str">
        <x:v>Confirmar fisicamente se falta e preencher a quantidade.</x:v>
      </x:c>
      <x:c r="J23" s="13" t="str">
        <x:v>Por confirmar</x:v>
      </x:c>
      <x:c r="K23" s="15"/>
      <x:c r="L23" s="13" t="str"/>
    </x:row>
    <x:row r="24">
      <x:c r="A24" s="13" t="str">
        <x:v>Ferramentas várias</x:v>
      </x:c>
      <x:c r="B24" s="13" t="str">
        <x:v>CB20x22</x:v>
      </x:c>
      <x:c r="C24" s="13" t="str"/>
      <x:c r="D24" s="16" t="str">
        <x:v>Chave de Bocas Expert 20x22mm</x:v>
      </x:c>
      <x:c r="E24" s="15" t="n">
        <x:v>2</x:v>
      </x:c>
      <x:c r="F24" s="13" t="str">
        <x:v>un</x:v>
      </x:c>
      <x:c r="G24" s="13" t="str">
        <x:v>Ferramaq</x:v>
      </x:c>
      <x:c r="H24" s="13" t="str">
        <x:v>Por confirmar</x:v>
      </x:c>
      <x:c r="I24" s="16" t="str">
        <x:v>Confirmar fisicamente se falta e preencher a quantidade.</x:v>
      </x:c>
      <x:c r="J24" s="13" t="str">
        <x:v>Por confirmar</x:v>
      </x:c>
      <x:c r="K24" s="15"/>
      <x:c r="L24" s="13" t="str"/>
    </x:row>
    <x:row r="25">
      <x:c r="A25" s="13" t="str">
        <x:v>Ferramentas várias</x:v>
      </x:c>
      <x:c r="B25" s="13" t="str">
        <x:v>CBE-005</x:v>
      </x:c>
      <x:c r="C25" s="13" t="str"/>
      <x:c r="D25" s="16" t="str">
        <x:v>CHAVE DE BOCAS EXPERT 24X26MM</x:v>
      </x:c>
      <x:c r="E25" s="15" t="n">
        <x:v>3</x:v>
      </x:c>
      <x:c r="F25" s="13" t="str">
        <x:v>un</x:v>
      </x:c>
      <x:c r="G25" s="13" t="str">
        <x:v>Ferramaq</x:v>
      </x:c>
      <x:c r="H25" s="13" t="str">
        <x:v>Por confirmar</x:v>
      </x:c>
      <x:c r="I25" s="16" t="str">
        <x:v>Confirmar fisicamente se falta e preencher a quantidade.</x:v>
      </x:c>
      <x:c r="J25" s="13" t="str">
        <x:v>Por confirmar</x:v>
      </x:c>
      <x:c r="K25" s="15"/>
      <x:c r="L25" s="13" t="str"/>
    </x:row>
    <x:row r="26">
      <x:c r="A26" s="13" t="str">
        <x:v>Ferramentas várias</x:v>
      </x:c>
      <x:c r="B26" s="13" t="str">
        <x:v>CB25x28</x:v>
      </x:c>
      <x:c r="C26" s="13" t="str"/>
      <x:c r="D26" s="16" t="str">
        <x:v>Chave de Bocas Expert 25x28mm</x:v>
      </x:c>
      <x:c r="E26" s="15" t="n">
        <x:v>1</x:v>
      </x:c>
      <x:c r="F26" s="13" t="str">
        <x:v>un</x:v>
      </x:c>
      <x:c r="G26" s="13" t="str">
        <x:v>Ferramaq</x:v>
      </x:c>
      <x:c r="H26" s="13" t="str">
        <x:v>Por confirmar</x:v>
      </x:c>
      <x:c r="I26" s="16" t="str">
        <x:v>Confirmar fisicamente se falta e preencher a quantidade.</x:v>
      </x:c>
      <x:c r="J26" s="13" t="str">
        <x:v>Por confirmar</x:v>
      </x:c>
      <x:c r="K26" s="15"/>
      <x:c r="L26" s="13" t="str"/>
    </x:row>
    <x:row r="27">
      <x:c r="A27" s="13" t="str">
        <x:v>Ferramentas várias</x:v>
      </x:c>
      <x:c r="B27" s="13" t="str">
        <x:v>CBE-007</x:v>
      </x:c>
      <x:c r="C27" s="13" t="str"/>
      <x:c r="D27" s="16" t="str">
        <x:v>CHAVE DE BOCAS EXPERT 27X29MM</x:v>
      </x:c>
      <x:c r="E27" s="15" t="n">
        <x:v>3</x:v>
      </x:c>
      <x:c r="F27" s="13" t="str">
        <x:v>un</x:v>
      </x:c>
      <x:c r="G27" s="13" t="str">
        <x:v>Ferramaq</x:v>
      </x:c>
      <x:c r="H27" s="13" t="str">
        <x:v>Por confirmar</x:v>
      </x:c>
      <x:c r="I27" s="16" t="str">
        <x:v>Confirmar fisicamente se falta e preencher a quantidade.</x:v>
      </x:c>
      <x:c r="J27" s="13" t="str">
        <x:v>Por confirmar</x:v>
      </x:c>
      <x:c r="K27" s="15"/>
      <x:c r="L27" s="13" t="str"/>
    </x:row>
    <x:row r="28">
      <x:c r="A28" s="13" t="str">
        <x:v>Ferramentas várias</x:v>
      </x:c>
      <x:c r="B28" s="13" t="str">
        <x:v>CB30x32</x:v>
      </x:c>
      <x:c r="C28" s="13" t="str"/>
      <x:c r="D28" s="16" t="str">
        <x:v>Chave de Bocas Expert 30x32mm</x:v>
      </x:c>
      <x:c r="E28" s="15" t="n">
        <x:v>3</x:v>
      </x:c>
      <x:c r="F28" s="13" t="str">
        <x:v>un</x:v>
      </x:c>
      <x:c r="G28" s="13" t="str">
        <x:v>Ferramaq</x:v>
      </x:c>
      <x:c r="H28" s="13" t="str">
        <x:v>Por confirmar</x:v>
      </x:c>
      <x:c r="I28" s="16" t="str">
        <x:v>Confirmar fisicamente se falta e preencher a quantidade.</x:v>
      </x:c>
      <x:c r="J28" s="13" t="str">
        <x:v>Por confirmar</x:v>
      </x:c>
      <x:c r="K28" s="15"/>
      <x:c r="L28" s="13" t="str"/>
    </x:row>
    <x:row r="29">
      <x:c r="A29" s="13" t="str">
        <x:v>Ferramentas várias</x:v>
      </x:c>
      <x:c r="B29" s="13" t="str">
        <x:v>203003</x:v>
      </x:c>
      <x:c r="C29" s="13" t="str"/>
      <x:c r="D29" s="16" t="str">
        <x:v>Chave luneta 10x11</x:v>
      </x:c>
      <x:c r="E29" s="15" t="n">
        <x:v>2</x:v>
      </x:c>
      <x:c r="F29" s="13" t="str">
        <x:v>un</x:v>
      </x:c>
      <x:c r="G29" s="13" t="str">
        <x:v>Equifermaq - Com de Maq e Fer, Lda</x:v>
      </x:c>
      <x:c r="H29" s="13" t="str">
        <x:v>Por confirmar</x:v>
      </x:c>
      <x:c r="I29" s="16" t="str">
        <x:v>Confirmar fisicamente se falta e preencher a quantidade.</x:v>
      </x:c>
      <x:c r="J29" s="13" t="str">
        <x:v>Por confirmar</x:v>
      </x:c>
      <x:c r="K29" s="15"/>
      <x:c r="L29" s="13" t="str"/>
    </x:row>
    <x:row r="30">
      <x:c r="A30" s="13" t="str">
        <x:v>Ferramentas várias</x:v>
      </x:c>
      <x:c r="B30" s="13" t="str">
        <x:v>48061</x:v>
      </x:c>
      <x:c r="C30" s="13" t="str"/>
      <x:c r="D30" s="16" t="str">
        <x:v>Chave luneta 12x13</x:v>
      </x:c>
      <x:c r="E30" s="15" t="n">
        <x:v>2</x:v>
      </x:c>
      <x:c r="F30" s="13" t="str">
        <x:v>un</x:v>
      </x:c>
      <x:c r="G30" s="13" t="str">
        <x:v>Equifermaq - Com de Maq e Fer, Lda</x:v>
      </x:c>
      <x:c r="H30" s="13" t="str">
        <x:v>Por confirmar</x:v>
      </x:c>
      <x:c r="I30" s="16" t="str">
        <x:v>Confirmar fisicamente se falta e preencher a quantidade.</x:v>
      </x:c>
      <x:c r="J30" s="13" t="str">
        <x:v>Por confirmar</x:v>
      </x:c>
      <x:c r="K30" s="15"/>
      <x:c r="L30" s="13" t="str"/>
    </x:row>
    <x:row r="31">
      <x:c r="A31" s="13" t="str">
        <x:v>Ferramentas várias</x:v>
      </x:c>
      <x:c r="B31" s="13" t="str">
        <x:v>203005</x:v>
      </x:c>
      <x:c r="C31" s="13" t="str"/>
      <x:c r="D31" s="16" t="str">
        <x:v>Chave luneta 14x15</x:v>
      </x:c>
      <x:c r="E31" s="15" t="n">
        <x:v>4</x:v>
      </x:c>
      <x:c r="F31" s="13" t="str">
        <x:v>un</x:v>
      </x:c>
      <x:c r="G31" s="13" t="str">
        <x:v>Equifermaq - Com de Maq e Fer, Lda</x:v>
      </x:c>
      <x:c r="H31" s="13" t="str">
        <x:v>Por confirmar</x:v>
      </x:c>
      <x:c r="I31" s="16" t="str">
        <x:v>Confirmar fisicamente se falta e preencher a quantidade.</x:v>
      </x:c>
      <x:c r="J31" s="13" t="str">
        <x:v>Por confirmar</x:v>
      </x:c>
      <x:c r="K31" s="15"/>
      <x:c r="L31" s="13" t="str"/>
    </x:row>
    <x:row r="32">
      <x:c r="A32" s="13" t="str">
        <x:v>Ferramentas várias</x:v>
      </x:c>
      <x:c r="B32" s="13" t="str">
        <x:v>151024</x:v>
      </x:c>
      <x:c r="C32" s="13" t="str"/>
      <x:c r="D32" s="16" t="str">
        <x:v>Chave luneta 16x17</x:v>
      </x:c>
      <x:c r="E32" s="15" t="n">
        <x:v>4</x:v>
      </x:c>
      <x:c r="F32" s="13" t="str">
        <x:v>un</x:v>
      </x:c>
      <x:c r="G32" s="13" t="str">
        <x:v>Equifermaq - Com de Maq e Fer, Lda</x:v>
      </x:c>
      <x:c r="H32" s="13" t="str">
        <x:v>Por confirmar</x:v>
      </x:c>
      <x:c r="I32" s="16" t="str">
        <x:v>Confirmar fisicamente se falta e preencher a quantidade.</x:v>
      </x:c>
      <x:c r="J32" s="13" t="str">
        <x:v>Por confirmar</x:v>
      </x:c>
      <x:c r="K32" s="15"/>
      <x:c r="L32" s="13" t="str"/>
    </x:row>
    <x:row r="33">
      <x:c r="A33" s="13" t="str">
        <x:v>Ferramentas várias</x:v>
      </x:c>
      <x:c r="B33" s="13" t="str">
        <x:v>203007</x:v>
      </x:c>
      <x:c r="C33" s="13" t="str"/>
      <x:c r="D33" s="16" t="str">
        <x:v>Chave luneta 18x19</x:v>
      </x:c>
      <x:c r="E33" s="15" t="n">
        <x:v>2</x:v>
      </x:c>
      <x:c r="F33" s="13" t="str">
        <x:v>un</x:v>
      </x:c>
      <x:c r="G33" s="13" t="str">
        <x:v>Equifermaq - Com de Maq e Fer, Lda</x:v>
      </x:c>
      <x:c r="H33" s="13" t="str">
        <x:v>Por confirmar</x:v>
      </x:c>
      <x:c r="I33" s="16" t="str">
        <x:v>Confirmar fisicamente se falta e preencher a quantidade.</x:v>
      </x:c>
      <x:c r="J33" s="13" t="str">
        <x:v>Por confirmar</x:v>
      </x:c>
      <x:c r="K33" s="15"/>
      <x:c r="L33" s="13" t="str"/>
    </x:row>
    <x:row r="34">
      <x:c r="A34" s="13" t="str">
        <x:v>Ferramentas várias</x:v>
      </x:c>
      <x:c r="B34" s="13" t="str">
        <x:v>203008</x:v>
      </x:c>
      <x:c r="C34" s="13" t="str"/>
      <x:c r="D34" s="16" t="str">
        <x:v>Chave luneta 20x22</x:v>
      </x:c>
      <x:c r="E34" s="15" t="n">
        <x:v>3</x:v>
      </x:c>
      <x:c r="F34" s="13" t="str">
        <x:v>un</x:v>
      </x:c>
      <x:c r="G34" s="13" t="str">
        <x:v>Equifermaq - Com de Maq e Fer, Lda</x:v>
      </x:c>
      <x:c r="H34" s="13" t="str">
        <x:v>Por confirmar</x:v>
      </x:c>
      <x:c r="I34" s="16" t="str">
        <x:v>Confirmar fisicamente se falta e preencher a quantidade.</x:v>
      </x:c>
      <x:c r="J34" s="13" t="str">
        <x:v>Por confirmar</x:v>
      </x:c>
      <x:c r="K34" s="15"/>
      <x:c r="L34" s="13" t="str"/>
    </x:row>
    <x:row r="35">
      <x:c r="A35" s="13" t="str">
        <x:v>Ferramentas várias</x:v>
      </x:c>
      <x:c r="B35" s="13" t="str">
        <x:v>109047</x:v>
      </x:c>
      <x:c r="C35" s="13" t="str"/>
      <x:c r="D35" s="16" t="str">
        <x:v>Chave luneta 24x26</x:v>
      </x:c>
      <x:c r="E35" s="15" t="n">
        <x:v>3</x:v>
      </x:c>
      <x:c r="F35" s="13" t="str">
        <x:v>un</x:v>
      </x:c>
      <x:c r="G35" s="13" t="str">
        <x:v>Equifermaq - Com de Maq e Fer, Lda</x:v>
      </x:c>
      <x:c r="H35" s="13" t="str">
        <x:v>Por confirmar</x:v>
      </x:c>
      <x:c r="I35" s="16" t="str">
        <x:v>Confirmar fisicamente se falta e preencher a quantidade.</x:v>
      </x:c>
      <x:c r="J35" s="13" t="str">
        <x:v>Por confirmar</x:v>
      </x:c>
      <x:c r="K35" s="15"/>
      <x:c r="L35" s="13" t="str"/>
    </x:row>
    <x:row r="36">
      <x:c r="A36" s="13" t="str">
        <x:v>Ferramentas várias</x:v>
      </x:c>
      <x:c r="B36" s="13" t="str">
        <x:v>CT19</x:v>
      </x:c>
      <x:c r="C36" s="13" t="str"/>
      <x:c r="D36" s="16" t="str">
        <x:v>Chave Tubular Curva 12 PT/6T 19mm</x:v>
      </x:c>
      <x:c r="E36" s="15" t="n">
        <x:v>1</x:v>
      </x:c>
      <x:c r="F36" s="13" t="str">
        <x:v>un</x:v>
      </x:c>
      <x:c r="G36" s="13" t="str">
        <x:v>Ferramaq</x:v>
      </x:c>
      <x:c r="H36" s="13" t="str">
        <x:v>Por confirmar</x:v>
      </x:c>
      <x:c r="I36" s="16" t="str">
        <x:v>Confirmar fisicamente se falta e preencher a quantidade.</x:v>
      </x:c>
      <x:c r="J36" s="13" t="str">
        <x:v>Por confirmar</x:v>
      </x:c>
      <x:c r="K36" s="15"/>
      <x:c r="L36" s="13" t="str"/>
    </x:row>
    <x:row r="37">
      <x:c r="A37" s="13" t="str">
        <x:v>Ferramentas várias</x:v>
      </x:c>
      <x:c r="B37" s="13" t="str">
        <x:v>480073</x:v>
      </x:c>
      <x:c r="C37" s="13" t="str"/>
      <x:c r="D37" s="16" t="str">
        <x:v>Cone Morse Encabadouro nº4 B-16</x:v>
      </x:c>
      <x:c r="E37" s="15" t="n">
        <x:v>1</x:v>
      </x:c>
      <x:c r="F37" s="13" t="str">
        <x:v>un</x:v>
      </x:c>
      <x:c r="G37" s="13" t="str">
        <x:v>Equifermaq - Com de Maq e Fer, Lda</x:v>
      </x:c>
      <x:c r="H37" s="13" t="str">
        <x:v>Por confirmar</x:v>
      </x:c>
      <x:c r="I37" s="16" t="str">
        <x:v>Confirmar fisicamente se falta e preencher a quantidade.</x:v>
      </x:c>
      <x:c r="J37" s="13" t="str">
        <x:v>Por confirmar</x:v>
      </x:c>
      <x:c r="K37" s="15"/>
      <x:c r="L37" s="13" t="str"/>
    </x:row>
    <x:row r="38">
      <x:c r="A38" s="13" t="str">
        <x:v>Ferramentas várias</x:v>
      </x:c>
      <x:c r="B38" s="13" t="str">
        <x:v>5005589</x:v>
      </x:c>
      <x:c r="C38" s="13" t="str">
        <x:v>5005589</x:v>
      </x:c>
      <x:c r="D38" s="16" t="str">
        <x:v>CONE MORSE ENCABADOURO Nº4-B16</x:v>
      </x:c>
      <x:c r="E38" s="15" t="n">
        <x:v>1</x:v>
      </x:c>
      <x:c r="F38" s="13" t="str">
        <x:v>un</x:v>
      </x:c>
      <x:c r="G38" s="13" t="str">
        <x:v>Equifermaq - Com de Maq e Fer, Lda</x:v>
      </x:c>
      <x:c r="H38" s="13" t="str">
        <x:v>Por confirmar</x:v>
      </x:c>
      <x:c r="I38" s="16" t="str">
        <x:v>Confirmar fisicamente se falta e preencher a quantidade.</x:v>
      </x:c>
      <x:c r="J38" s="13" t="str">
        <x:v>Por confirmar</x:v>
      </x:c>
      <x:c r="K38" s="15"/>
      <x:c r="L38" s="13" t="str"/>
    </x:row>
    <x:row r="39">
      <x:c r="A39" s="13" t="str">
        <x:v>Ferramentas várias</x:v>
      </x:c>
      <x:c r="B39" s="13" t="str">
        <x:v>CR18</x:v>
      </x:c>
      <x:c r="C39" s="13" t="str"/>
      <x:c r="D39" s="16" t="str">
        <x:v>Corte Rebites Cr-Mo 18''</x:v>
      </x:c>
      <x:c r="E39" s="15" t="n">
        <x:v>1</x:v>
      </x:c>
      <x:c r="F39" s="13" t="str">
        <x:v>un</x:v>
      </x:c>
      <x:c r="G39" s="13" t="str">
        <x:v>Ferramaq</x:v>
      </x:c>
      <x:c r="H39" s="13" t="str">
        <x:v>Por confirmar</x:v>
      </x:c>
      <x:c r="I39" s="16" t="str">
        <x:v>Confirmar fisicamente se falta e preencher a quantidade.</x:v>
      </x:c>
      <x:c r="J39" s="13" t="str">
        <x:v>Por confirmar</x:v>
      </x:c>
      <x:c r="K39" s="15"/>
      <x:c r="L39" s="13" t="str"/>
    </x:row>
    <x:row r="40">
      <x:c r="A40" s="13" t="str">
        <x:v>Ferramentas várias</x:v>
      </x:c>
      <x:c r="B40" s="13" t="str">
        <x:v>CR42</x:v>
      </x:c>
      <x:c r="C40" s="13" t="str"/>
      <x:c r="D40" s="16" t="str">
        <x:v>Corte Rebites Cr-Mo 42''</x:v>
      </x:c>
      <x:c r="E40" s="15" t="n">
        <x:v>1</x:v>
      </x:c>
      <x:c r="F40" s="13" t="str">
        <x:v>un</x:v>
      </x:c>
      <x:c r="G40" s="13" t="str">
        <x:v>Ferramaq</x:v>
      </x:c>
      <x:c r="H40" s="13" t="str">
        <x:v>Por confirmar</x:v>
      </x:c>
      <x:c r="I40" s="16" t="str">
        <x:v>Confirmar fisicamente se falta e preencher a quantidade.</x:v>
      </x:c>
      <x:c r="J40" s="13" t="str">
        <x:v>Por confirmar</x:v>
      </x:c>
      <x:c r="K40" s="15"/>
      <x:c r="L40" s="13" t="str"/>
    </x:row>
    <x:row r="41">
      <x:c r="A41" s="13" t="str">
        <x:v>Ferramentas várias</x:v>
      </x:c>
      <x:c r="B41" s="13" t="str">
        <x:v>5004611</x:v>
      </x:c>
      <x:c r="C41" s="13" t="str">
        <x:v>5004611</x:v>
      </x:c>
      <x:c r="D41" s="16" t="str">
        <x:v>Descarnador cabo 101307</x:v>
      </x:c>
      <x:c r="E41" s="15" t="n">
        <x:v>6</x:v>
      </x:c>
      <x:c r="F41" s="13" t="str">
        <x:v>un</x:v>
      </x:c>
      <x:c r="G41" s="13" t="str">
        <x:v>Equifermaq - Com de Maq e Fer, Lda</x:v>
      </x:c>
      <x:c r="H41" s="13" t="str">
        <x:v>Por confirmar</x:v>
      </x:c>
      <x:c r="I41" s="16" t="str">
        <x:v>Confirmar fisicamente se falta e preencher a quantidade.</x:v>
      </x:c>
      <x:c r="J41" s="13" t="str">
        <x:v>Por confirmar</x:v>
      </x:c>
      <x:c r="K41" s="15"/>
      <x:c r="L41" s="13" t="str"/>
    </x:row>
    <x:row r="42">
      <x:c r="A42" s="13" t="str">
        <x:v>Ferramentas várias</x:v>
      </x:c>
      <x:c r="B42" s="13" t="str">
        <x:v>10137</x:v>
      </x:c>
      <x:c r="C42" s="13" t="str"/>
      <x:c r="D42" s="16" t="str">
        <x:v>Descarnador cabo 101307/Athlet</x:v>
      </x:c>
      <x:c r="E42" s="15" t="n">
        <x:v>6</x:v>
      </x:c>
      <x:c r="F42" s="13" t="str">
        <x:v>un</x:v>
      </x:c>
      <x:c r="G42" s="13" t="str">
        <x:v>Equifermaq - Com de Maq e Fer, Lda</x:v>
      </x:c>
      <x:c r="H42" s="13" t="str">
        <x:v>Por confirmar</x:v>
      </x:c>
      <x:c r="I42" s="16" t="str">
        <x:v>Confirmar fisicamente se falta e preencher a quantidade.</x:v>
      </x:c>
      <x:c r="J42" s="13" t="str">
        <x:v>Por confirmar</x:v>
      </x:c>
      <x:c r="K42" s="15"/>
      <x:c r="L42" s="13" t="str"/>
    </x:row>
    <x:row r="43">
      <x:c r="A43" s="13" t="str">
        <x:v>Ferramentas várias</x:v>
      </x:c>
      <x:c r="B43" s="13" t="str">
        <x:v>Engenho</x:v>
      </x:c>
      <x:c r="C43" s="13" t="str"/>
      <x:c r="D43" s="16" t="str">
        <x:v>Engenho de Furar Coluna Optidrill DQ25LT</x:v>
      </x:c>
      <x:c r="E43" s="15" t="n">
        <x:v>1</x:v>
      </x:c>
      <x:c r="F43" s="13" t="str">
        <x:v>un</x:v>
      </x:c>
      <x:c r="G43" s="13" t="str"/>
      <x:c r="H43" s="13" t="str">
        <x:v>Por confirmar</x:v>
      </x:c>
      <x:c r="I43" s="16" t="str">
        <x:v>Confirmar fisicamente se falta e preencher a quantidade.</x:v>
      </x:c>
      <x:c r="J43" s="13" t="str">
        <x:v>Por confirmar</x:v>
      </x:c>
      <x:c r="K43" s="15"/>
      <x:c r="L43" s="13" t="str"/>
    </x:row>
    <x:row r="44">
      <x:c r="A44" s="13" t="str">
        <x:v>Ferramentas várias</x:v>
      </x:c>
      <x:c r="B44" s="13" t="str">
        <x:v>ESC-001</x:v>
      </x:c>
      <x:c r="C44" s="13" t="str"/>
      <x:c r="D44" s="16" t="str">
        <x:v>ESCORPO C/ PUNHO DE PROTEÇÃO 16X300MM</x:v>
      </x:c>
      <x:c r="E44" s="15" t="n">
        <x:v>1</x:v>
      </x:c>
      <x:c r="F44" s="13" t="str">
        <x:v>un</x:v>
      </x:c>
      <x:c r="G44" s="13" t="str">
        <x:v>Ferramaq</x:v>
      </x:c>
      <x:c r="H44" s="13" t="str">
        <x:v>Por confirmar</x:v>
      </x:c>
      <x:c r="I44" s="16" t="str">
        <x:v>Confirmar fisicamente se falta e preencher a quantidade.</x:v>
      </x:c>
      <x:c r="J44" s="13" t="str">
        <x:v>Por confirmar</x:v>
      </x:c>
      <x:c r="K44" s="15"/>
      <x:c r="L44" s="13" t="str"/>
    </x:row>
    <x:row r="45">
      <x:c r="A45" s="13" t="str">
        <x:v>Ferramentas várias</x:v>
      </x:c>
      <x:c r="B45" s="13" t="str">
        <x:v>ESM-001</x:v>
      </x:c>
      <x:c r="C45" s="13" t="str"/>
      <x:c r="D45" s="16" t="str">
        <x:v>ESMERILADORA SANDY 117-125MM</x:v>
      </x:c>
      <x:c r="E45" s="15" t="n">
        <x:v>1</x:v>
      </x:c>
      <x:c r="F45" s="13" t="str">
        <x:v>un</x:v>
      </x:c>
      <x:c r="G45" s="13" t="str">
        <x:v>Ferramaq</x:v>
      </x:c>
      <x:c r="H45" s="13" t="str">
        <x:v>Por confirmar</x:v>
      </x:c>
      <x:c r="I45" s="16" t="str">
        <x:v>Confirmar fisicamente se falta e preencher a quantidade.</x:v>
      </x:c>
      <x:c r="J45" s="13" t="str">
        <x:v>Por confirmar</x:v>
      </x:c>
      <x:c r="K45" s="15"/>
      <x:c r="L45" s="13" t="str"/>
    </x:row>
    <x:row r="46">
      <x:c r="A46" s="13" t="str">
        <x:v>Ferramentas várias</x:v>
      </x:c>
      <x:c r="B46" s="13" t="str">
        <x:v>291162</x:v>
      </x:c>
      <x:c r="C46" s="13" t="str"/>
      <x:c r="D46" s="16" t="str">
        <x:v>Extensão 25 m com enrolador 3G1,5</x:v>
      </x:c>
      <x:c r="E46" s="15" t="n">
        <x:v>2</x:v>
      </x:c>
      <x:c r="F46" s="13" t="str">
        <x:v>un</x:v>
      </x:c>
      <x:c r="G46" s="13" t="str">
        <x:v>Equifermaq - Com de Maq e Fer, Lda</x:v>
      </x:c>
      <x:c r="H46" s="13" t="str">
        <x:v>Por confirmar</x:v>
      </x:c>
      <x:c r="I46" s="16" t="str">
        <x:v>Confirmar fisicamente se falta e preencher a quantidade.</x:v>
      </x:c>
      <x:c r="J46" s="13" t="str">
        <x:v>Por confirmar</x:v>
      </x:c>
      <x:c r="K46" s="15"/>
      <x:c r="L46" s="13" t="str"/>
    </x:row>
    <x:row r="47">
      <x:c r="A47" s="13" t="str">
        <x:v>Ferramentas várias</x:v>
      </x:c>
      <x:c r="B47" s="13" t="str">
        <x:v>238967</x:v>
      </x:c>
      <x:c r="C47" s="13" t="str"/>
      <x:c r="D47" s="16" t="str">
        <x:v>Extensao 3S c/int.3G1,5-3mts</x:v>
      </x:c>
      <x:c r="E47" s="15" t="n">
        <x:v>6</x:v>
      </x:c>
      <x:c r="F47" s="13" t="str">
        <x:v>un</x:v>
      </x:c>
      <x:c r="G47" s="13" t="str">
        <x:v>Equifermaq - Com de Maq e Fer, Lda</x:v>
      </x:c>
      <x:c r="H47" s="13" t="str">
        <x:v>Por confirmar</x:v>
      </x:c>
      <x:c r="I47" s="16" t="str">
        <x:v>Confirmar fisicamente se falta e preencher a quantidade.</x:v>
      </x:c>
      <x:c r="J47" s="13" t="str">
        <x:v>Por confirmar</x:v>
      </x:c>
      <x:c r="K47" s="15"/>
      <x:c r="L47" s="13" t="str"/>
    </x:row>
    <x:row r="48">
      <x:c r="A48" s="13" t="str">
        <x:v>Ferramentas várias</x:v>
      </x:c>
      <x:c r="B48" s="13" t="str">
        <x:v>282681</x:v>
      </x:c>
      <x:c r="C48" s="13" t="str"/>
      <x:c r="D48" s="16" t="str">
        <x:v>Extensao 3S c/int.3G1,5-5mts</x:v>
      </x:c>
      <x:c r="E48" s="15" t="n">
        <x:v>3</x:v>
      </x:c>
      <x:c r="F48" s="13" t="str">
        <x:v>un</x:v>
      </x:c>
      <x:c r="G48" s="13" t="str">
        <x:v>Equifermaq - Com de Maq e Fer, Lda</x:v>
      </x:c>
      <x:c r="H48" s="13" t="str">
        <x:v>Por confirmar</x:v>
      </x:c>
      <x:c r="I48" s="16" t="str">
        <x:v>Confirmar fisicamente se falta e preencher a quantidade.</x:v>
      </x:c>
      <x:c r="J48" s="13" t="str">
        <x:v>Por confirmar</x:v>
      </x:c>
      <x:c r="K48" s="15"/>
      <x:c r="L48" s="13" t="str"/>
    </x:row>
    <x:row r="49">
      <x:c r="A49" s="13" t="str">
        <x:v>Ferramentas várias</x:v>
      </x:c>
      <x:c r="B49" s="13" t="str">
        <x:v>281800</x:v>
      </x:c>
      <x:c r="C49" s="13" t="str"/>
      <x:c r="D49" s="16" t="str">
        <x:v>Extensao 6S c/int.3G1,5-3mts</x:v>
      </x:c>
      <x:c r="E49" s="15" t="n">
        <x:v>6</x:v>
      </x:c>
      <x:c r="F49" s="13" t="str">
        <x:v>un</x:v>
      </x:c>
      <x:c r="G49" s="13" t="str">
        <x:v>Equifermaq - Com de Maq e Fer, Lda</x:v>
      </x:c>
      <x:c r="H49" s="13" t="str">
        <x:v>Por confirmar</x:v>
      </x:c>
      <x:c r="I49" s="16" t="str">
        <x:v>Confirmar fisicamente se falta e preencher a quantidade.</x:v>
      </x:c>
      <x:c r="J49" s="13" t="str">
        <x:v>Por confirmar</x:v>
      </x:c>
      <x:c r="K49" s="15"/>
      <x:c r="L49" s="13" t="str"/>
    </x:row>
    <x:row r="50">
      <x:c r="A50" s="13" t="str">
        <x:v>Ferramentas várias</x:v>
      </x:c>
      <x:c r="B50" s="13" t="str">
        <x:v>5004696</x:v>
      </x:c>
      <x:c r="C50" s="13" t="str">
        <x:v>5004696</x:v>
      </x:c>
      <x:c r="D50" s="16" t="str">
        <x:v>FACA ALCATIFA PROF. MET. C/TRAVAO</x:v>
      </x:c>
      <x:c r="E50" s="15" t="n">
        <x:v>11</x:v>
      </x:c>
      <x:c r="F50" s="13" t="str">
        <x:v>un</x:v>
      </x:c>
      <x:c r="G50" s="13" t="str">
        <x:v>Joao S. Azevedo, Lda</x:v>
      </x:c>
      <x:c r="H50" s="13" t="str">
        <x:v>Por confirmar</x:v>
      </x:c>
      <x:c r="I50" s="16" t="str">
        <x:v>Confirmar fisicamente se falta e preencher a quantidade.</x:v>
      </x:c>
      <x:c r="J50" s="13" t="str">
        <x:v>Por confirmar</x:v>
      </x:c>
      <x:c r="K50" s="15"/>
      <x:c r="L50" s="13" t="str"/>
    </x:row>
    <x:row r="51">
      <x:c r="A51" s="13" t="str">
        <x:v>Ferramentas várias</x:v>
      </x:c>
      <x:c r="B51" s="13" t="str">
        <x:v>FIT-001</x:v>
      </x:c>
      <x:c r="C51" s="13" t="str"/>
      <x:c r="D51" s="16" t="str">
        <x:v>FITA MÉTRICA STANLEY 5 MT TYLON</x:v>
      </x:c>
      <x:c r="E51" s="15" t="n">
        <x:v>2</x:v>
      </x:c>
      <x:c r="F51" s="13" t="str">
        <x:v>un</x:v>
      </x:c>
      <x:c r="G51" s="13" t="str">
        <x:v>Ferramaq</x:v>
      </x:c>
      <x:c r="H51" s="13" t="str">
        <x:v>Por confirmar</x:v>
      </x:c>
      <x:c r="I51" s="16" t="str">
        <x:v>Confirmar fisicamente se falta e preencher a quantidade.</x:v>
      </x:c>
      <x:c r="J51" s="13" t="str">
        <x:v>Por confirmar</x:v>
      </x:c>
      <x:c r="K51" s="15"/>
      <x:c r="L51" s="13" t="str"/>
    </x:row>
    <x:row r="52">
      <x:c r="A52" s="13" t="str">
        <x:v>Ferramentas várias</x:v>
      </x:c>
      <x:c r="B52" s="13" t="str">
        <x:v>800622</x:v>
      </x:c>
      <x:c r="C52" s="13" t="str"/>
      <x:c r="D52" s="16" t="str">
        <x:v>Fita Serra M42 1735x13x0,9-6/10-Wikus</x:v>
      </x:c>
      <x:c r="E52" s="15" t="n">
        <x:v>2</x:v>
      </x:c>
      <x:c r="F52" s="13" t="str">
        <x:v>un</x:v>
      </x:c>
      <x:c r="G52" s="13" t="str">
        <x:v>Equifermaq - Com de Maq e Fer, Lda</x:v>
      </x:c>
      <x:c r="H52" s="13" t="str">
        <x:v>Por confirmar</x:v>
      </x:c>
      <x:c r="I52" s="16" t="str">
        <x:v>Confirmar fisicamente se falta e preencher a quantidade.</x:v>
      </x:c>
      <x:c r="J52" s="13" t="str">
        <x:v>Por confirmar</x:v>
      </x:c>
      <x:c r="K52" s="15"/>
      <x:c r="L52" s="13" t="str"/>
    </x:row>
    <x:row r="53">
      <x:c r="A53" s="13" t="str">
        <x:v>Ferramentas várias</x:v>
      </x:c>
      <x:c r="B53" s="13" t="str">
        <x:v>1067</x:v>
      </x:c>
      <x:c r="C53" s="13" t="str"/>
      <x:c r="D53" s="16" t="str">
        <x:v>Fresa para postes</x:v>
      </x:c>
      <x:c r="E53" s="15" t="n">
        <x:v>1</x:v>
      </x:c>
      <x:c r="F53" s="13" t="str">
        <x:v>un</x:v>
      </x:c>
      <x:c r="G53" s="13" t="str">
        <x:v>Domingos da Silva Teixeira, S.A.</x:v>
      </x:c>
      <x:c r="H53" s="13" t="str">
        <x:v>Por confirmar</x:v>
      </x:c>
      <x:c r="I53" s="16" t="str">
        <x:v>Confirmar fisicamente se falta e preencher a quantidade.</x:v>
      </x:c>
      <x:c r="J53" s="13" t="str">
        <x:v>Por confirmar</x:v>
      </x:c>
      <x:c r="K53" s="15"/>
      <x:c r="L53" s="13" t="str"/>
    </x:row>
    <x:row r="54">
      <x:c r="A54" s="13" t="str">
        <x:v>Ferramentas várias</x:v>
      </x:c>
      <x:c r="B54" s="13" t="str">
        <x:v>1038</x:v>
      </x:c>
      <x:c r="C54" s="13" t="str"/>
      <x:c r="D54" s="16" t="str">
        <x:v>Gerador EU 30 IS</x:v>
      </x:c>
      <x:c r="E54" s="15" t="n">
        <x:v>1</x:v>
      </x:c>
      <x:c r="F54" s="13" t="str">
        <x:v>un</x:v>
      </x:c>
      <x:c r="G54" s="13" t="str">
        <x:v>Domingos da Silva Teixeira, S.A.</x:v>
      </x:c>
      <x:c r="H54" s="13" t="str">
        <x:v>Por confirmar</x:v>
      </x:c>
      <x:c r="I54" s="16" t="str">
        <x:v>Confirmar fisicamente se falta e preencher a quantidade.</x:v>
      </x:c>
      <x:c r="J54" s="13" t="str">
        <x:v>Por confirmar</x:v>
      </x:c>
      <x:c r="K54" s="15"/>
      <x:c r="L54" s="13" t="str"/>
    </x:row>
    <x:row r="55">
      <x:c r="A55" s="13" t="str">
        <x:v>Ferramentas várias</x:v>
      </x:c>
      <x:c r="B55" s="13" t="str">
        <x:v>142736</x:v>
      </x:c>
      <x:c r="C55" s="13" t="str"/>
      <x:c r="D55" s="16" t="str">
        <x:v>Jogo chave caixa 26 peças 1/2</x:v>
      </x:c>
      <x:c r="E55" s="15" t="n">
        <x:v>1</x:v>
      </x:c>
      <x:c r="F55" s="13" t="str">
        <x:v>un</x:v>
      </x:c>
      <x:c r="G55" s="13" t="str">
        <x:v>Equifermaq - Com de Maq e Fer, Lda</x:v>
      </x:c>
      <x:c r="H55" s="13" t="str">
        <x:v>Por confirmar</x:v>
      </x:c>
      <x:c r="I55" s="16" t="str">
        <x:v>Confirmar fisicamente se falta e preencher a quantidade.</x:v>
      </x:c>
      <x:c r="J55" s="13" t="str">
        <x:v>Por confirmar</x:v>
      </x:c>
      <x:c r="K55" s="15"/>
      <x:c r="L55" s="13" t="str"/>
    </x:row>
    <x:row r="56">
      <x:c r="A56" s="13" t="str">
        <x:v>Ferramentas várias</x:v>
      </x:c>
      <x:c r="B56" s="13" t="str">
        <x:v>2811121</x:v>
      </x:c>
      <x:c r="C56" s="13" t="str"/>
      <x:c r="D56" s="16" t="str">
        <x:v>Jogo chave de fenda 8 peças</x:v>
      </x:c>
      <x:c r="E56" s="15" t="n">
        <x:v>2</x:v>
      </x:c>
      <x:c r="F56" s="13" t="str">
        <x:v>un</x:v>
      </x:c>
      <x:c r="G56" s="13" t="str">
        <x:v>Equifermaq - Com de Maq e Fer, Lda</x:v>
      </x:c>
      <x:c r="H56" s="13" t="str">
        <x:v>Por confirmar</x:v>
      </x:c>
      <x:c r="I56" s="16" t="str">
        <x:v>Confirmar fisicamente se falta e preencher a quantidade.</x:v>
      </x:c>
      <x:c r="J56" s="13" t="str">
        <x:v>Por confirmar</x:v>
      </x:c>
      <x:c r="K56" s="15"/>
      <x:c r="L56" s="13" t="str"/>
    </x:row>
    <x:row r="57">
      <x:c r="A57" s="13" t="str">
        <x:v>Ferramentas várias</x:v>
      </x:c>
      <x:c r="B57" s="13" t="str">
        <x:v>JOG-001</x:v>
      </x:c>
      <x:c r="C57" s="13" t="str"/>
      <x:c r="D57" s="16" t="str">
        <x:v>JOGO DE 102 PEÇAS DE BOCAS E PONTAS MAKITA</x:v>
      </x:c>
      <x:c r="E57" s="15" t="n">
        <x:v>1</x:v>
      </x:c>
      <x:c r="F57" s="13" t="str">
        <x:v>un</x:v>
      </x:c>
      <x:c r="G57" s="13" t="str">
        <x:v>Ferramaq</x:v>
      </x:c>
      <x:c r="H57" s="13" t="str">
        <x:v>Por confirmar</x:v>
      </x:c>
      <x:c r="I57" s="16" t="str">
        <x:v>Confirmar fisicamente se falta e preencher a quantidade.</x:v>
      </x:c>
      <x:c r="J57" s="13" t="str">
        <x:v>Por confirmar</x:v>
      </x:c>
      <x:c r="K57" s="15"/>
      <x:c r="L57" s="13" t="str"/>
    </x:row>
    <x:row r="58">
      <x:c r="A58" s="13" t="str">
        <x:v>Ferramentas várias</x:v>
      </x:c>
      <x:c r="B58" s="13" t="str">
        <x:v>125033</x:v>
      </x:c>
      <x:c r="C58" s="13" t="str"/>
      <x:c r="D58" s="16" t="str">
        <x:v>Lima paralela 10"</x:v>
      </x:c>
      <x:c r="E58" s="15" t="n">
        <x:v>2</x:v>
      </x:c>
      <x:c r="F58" s="13" t="str">
        <x:v>un</x:v>
      </x:c>
      <x:c r="G58" s="13" t="str">
        <x:v>Equifermaq - Com de Maq e Fer, Lda</x:v>
      </x:c>
      <x:c r="H58" s="13" t="str">
        <x:v>Por confirmar</x:v>
      </x:c>
      <x:c r="I58" s="16" t="str">
        <x:v>Confirmar fisicamente se falta e preencher a quantidade.</x:v>
      </x:c>
      <x:c r="J58" s="13" t="str">
        <x:v>Por confirmar</x:v>
      </x:c>
      <x:c r="K58" s="15"/>
      <x:c r="L58" s="13" t="str"/>
    </x:row>
    <x:row r="59">
      <x:c r="A59" s="13" t="str">
        <x:v>Ferramentas várias</x:v>
      </x:c>
      <x:c r="B59" s="13" t="str">
        <x:v>2302322</x:v>
      </x:c>
      <x:c r="C59" s="13" t="str"/>
      <x:c r="D59" s="16" t="str">
        <x:v>Maçarico C-306 ACET./90-480</x:v>
      </x:c>
      <x:c r="E59" s="15" t="n">
        <x:v>1</x:v>
      </x:c>
      <x:c r="F59" s="13" t="str">
        <x:v>un</x:v>
      </x:c>
      <x:c r="G59" s="13" t="str">
        <x:v>Nippon Gases Portugal, Unip Lda</x:v>
      </x:c>
      <x:c r="H59" s="13" t="str">
        <x:v>Por confirmar</x:v>
      </x:c>
      <x:c r="I59" s="16" t="str">
        <x:v>Confirmar fisicamente se falta e preencher a quantidade.</x:v>
      </x:c>
      <x:c r="J59" s="13" t="str">
        <x:v>Por confirmar</x:v>
      </x:c>
      <x:c r="K59" s="15"/>
      <x:c r="L59" s="13" t="str"/>
    </x:row>
    <x:row r="60">
      <x:c r="A60" s="13" t="str">
        <x:v>Ferramentas várias</x:v>
      </x:c>
      <x:c r="B60" s="13" t="str">
        <x:v>MAC-001</x:v>
      </x:c>
      <x:c r="C60" s="13" t="str"/>
      <x:c r="D60" s="16" t="str">
        <x:v>MACETA CABO DE MADEIRA 1KG</x:v>
      </x:c>
      <x:c r="E60" s="15" t="n">
        <x:v>1</x:v>
      </x:c>
      <x:c r="F60" s="13" t="str">
        <x:v>un</x:v>
      </x:c>
      <x:c r="G60" s="13" t="str">
        <x:v>Ferramaq</x:v>
      </x:c>
      <x:c r="H60" s="13" t="str">
        <x:v>Por confirmar</x:v>
      </x:c>
      <x:c r="I60" s="16" t="str">
        <x:v>Confirmar fisicamente se falta e preencher a quantidade.</x:v>
      </x:c>
      <x:c r="J60" s="13" t="str">
        <x:v>Por confirmar</x:v>
      </x:c>
      <x:c r="K60" s="15"/>
      <x:c r="L60" s="13" t="str"/>
    </x:row>
    <x:row r="61">
      <x:c r="A61" s="13" t="str">
        <x:v>Ferramentas várias</x:v>
      </x:c>
      <x:c r="B61" s="13" t="str">
        <x:v>MARRETA</x:v>
      </x:c>
      <x:c r="C61" s="13" t="str"/>
      <x:c r="D61" s="16" t="str">
        <x:v>MARRETA 4KG</x:v>
      </x:c>
      <x:c r="E61" s="15" t="n">
        <x:v>1</x:v>
      </x:c>
      <x:c r="F61" s="13" t="str">
        <x:v>un</x:v>
      </x:c>
      <x:c r="G61" s="13" t="str"/>
      <x:c r="H61" s="13" t="str">
        <x:v>Por confirmar</x:v>
      </x:c>
      <x:c r="I61" s="16" t="str">
        <x:v>Confirmar fisicamente se falta e preencher a quantidade.</x:v>
      </x:c>
      <x:c r="J61" s="13" t="str">
        <x:v>Por confirmar</x:v>
      </x:c>
      <x:c r="K61" s="15"/>
      <x:c r="L61" s="13" t="str"/>
    </x:row>
    <x:row r="62">
      <x:c r="A62" s="13" t="str">
        <x:v>Ferramentas várias</x:v>
      </x:c>
      <x:c r="B62" s="13" t="str">
        <x:v>MAR-001</x:v>
      </x:c>
      <x:c r="C62" s="13" t="str"/>
      <x:c r="D62" s="16" t="str">
        <x:v>MARTELO BOLA 910GR (32OZ)</x:v>
      </x:c>
      <x:c r="E62" s="15" t="n">
        <x:v>2</x:v>
      </x:c>
      <x:c r="F62" s="13" t="str">
        <x:v>un</x:v>
      </x:c>
      <x:c r="G62" s="13" t="str">
        <x:v>Ferramaq</x:v>
      </x:c>
      <x:c r="H62" s="13" t="str">
        <x:v>Por confirmar</x:v>
      </x:c>
      <x:c r="I62" s="16" t="str">
        <x:v>Confirmar fisicamente se falta e preencher a quantidade.</x:v>
      </x:c>
      <x:c r="J62" s="13" t="str">
        <x:v>Por confirmar</x:v>
      </x:c>
      <x:c r="K62" s="15"/>
      <x:c r="L62" s="13" t="str"/>
    </x:row>
    <x:row r="63">
      <x:c r="A63" s="13" t="str">
        <x:v>Ferramentas várias</x:v>
      </x:c>
      <x:c r="B63" s="13" t="str">
        <x:v>MAR-002</x:v>
      </x:c>
      <x:c r="C63" s="13" t="str"/>
      <x:c r="D63" s="16" t="str">
        <x:v>MARTELO CABEÇA PLASTICO 4X35</x:v>
      </x:c>
      <x:c r="E63" s="15" t="n">
        <x:v>2</x:v>
      </x:c>
      <x:c r="F63" s="13" t="str">
        <x:v>un</x:v>
      </x:c>
      <x:c r="G63" s="13" t="str">
        <x:v>Ferramaq</x:v>
      </x:c>
      <x:c r="H63" s="13" t="str">
        <x:v>Por confirmar</x:v>
      </x:c>
      <x:c r="I63" s="16" t="str">
        <x:v>Confirmar fisicamente se falta e preencher a quantidade.</x:v>
      </x:c>
      <x:c r="J63" s="13" t="str">
        <x:v>Por confirmar</x:v>
      </x:c>
      <x:c r="K63" s="15"/>
      <x:c r="L63" s="13" t="str"/>
    </x:row>
    <x:row r="64">
      <x:c r="A64" s="13" t="str">
        <x:v>Ferramentas várias</x:v>
      </x:c>
      <x:c r="B64" s="13" t="str">
        <x:v>2146841</x:v>
      </x:c>
      <x:c r="C64" s="13" t="str"/>
      <x:c r="D64" s="16" t="str">
        <x:v>Martelo Demolidor TE 500-AVR 23 0000321896</x:v>
      </x:c>
      <x:c r="E64" s="15" t="n">
        <x:v>1</x:v>
      </x:c>
      <x:c r="F64" s="13" t="str">
        <x:v>un</x:v>
      </x:c>
      <x:c r="G64" s="13" t="str">
        <x:v>Hilti</x:v>
      </x:c>
      <x:c r="H64" s="13" t="str">
        <x:v>Por confirmar</x:v>
      </x:c>
      <x:c r="I64" s="16" t="str">
        <x:v>Confirmar fisicamente se falta e preencher a quantidade.</x:v>
      </x:c>
      <x:c r="J64" s="13" t="str">
        <x:v>Por confirmar</x:v>
      </x:c>
      <x:c r="K64" s="15"/>
      <x:c r="L64" s="13" t="str"/>
    </x:row>
    <x:row r="65">
      <x:c r="A65" s="13" t="str">
        <x:v>Ferramentas várias</x:v>
      </x:c>
      <x:c r="B65" s="13" t="str">
        <x:v>5000627</x:v>
      </x:c>
      <x:c r="C65" s="13" t="str">
        <x:v>5000627</x:v>
      </x:c>
      <x:c r="D65" s="16" t="str">
        <x:v>Martelo t/americano HMC32-mcf</x:v>
      </x:c>
      <x:c r="E65" s="15" t="n">
        <x:v>1</x:v>
      </x:c>
      <x:c r="F65" s="13" t="str">
        <x:v>un</x:v>
      </x:c>
      <x:c r="G65" s="13" t="str">
        <x:v>Equifermaq - Com de Maq e Fer, Lda</x:v>
      </x:c>
      <x:c r="H65" s="13" t="str">
        <x:v>Por confirmar</x:v>
      </x:c>
      <x:c r="I65" s="16" t="str">
        <x:v>Confirmar fisicamente se falta e preencher a quantidade.</x:v>
      </x:c>
      <x:c r="J65" s="13" t="str">
        <x:v>Por confirmar</x:v>
      </x:c>
      <x:c r="K65" s="15"/>
      <x:c r="L65" s="13" t="str"/>
    </x:row>
    <x:row r="66">
      <x:c r="A66" s="13" t="str">
        <x:v>Ferramentas várias</x:v>
      </x:c>
      <x:c r="B66" s="13" t="str">
        <x:v>712058</x:v>
      </x:c>
      <x:c r="C66" s="13" t="str"/>
      <x:c r="D66" s="16" t="str">
        <x:v>Máscara de soldar automática</x:v>
      </x:c>
      <x:c r="E66" s="15" t="n">
        <x:v>1</x:v>
      </x:c>
      <x:c r="F66" s="13" t="str">
        <x:v>un</x:v>
      </x:c>
      <x:c r="G66" s="13" t="str">
        <x:v>Equifermaq - Com de Maq e Fer, Lda</x:v>
      </x:c>
      <x:c r="H66" s="13" t="str">
        <x:v>Por confirmar</x:v>
      </x:c>
      <x:c r="I66" s="16" t="str">
        <x:v>Confirmar fisicamente se falta e preencher a quantidade.</x:v>
      </x:c>
      <x:c r="J66" s="13" t="str">
        <x:v>Por confirmar</x:v>
      </x:c>
      <x:c r="K66" s="15"/>
      <x:c r="L66" s="13" t="str"/>
    </x:row>
    <x:row r="67">
      <x:c r="A67" s="13" t="str">
        <x:v>Ferramentas várias</x:v>
      </x:c>
      <x:c r="B67" s="13" t="str">
        <x:v>100040</x:v>
      </x:c>
      <x:c r="C67" s="13" t="str"/>
      <x:c r="D67" s="16" t="str">
        <x:v>Nível alumínio EPT2003B – 40 cm</x:v>
      </x:c>
      <x:c r="E67" s="15" t="n">
        <x:v>2</x:v>
      </x:c>
      <x:c r="F67" s="13" t="str">
        <x:v>un</x:v>
      </x:c>
      <x:c r="G67" s="13" t="str">
        <x:v>Equifermaq - Com de Maq e Fer, Lda</x:v>
      </x:c>
      <x:c r="H67" s="13" t="str">
        <x:v>Por confirmar</x:v>
      </x:c>
      <x:c r="I67" s="16" t="str">
        <x:v>Confirmar fisicamente se falta e preencher a quantidade.</x:v>
      </x:c>
      <x:c r="J67" s="13" t="str">
        <x:v>Por confirmar</x:v>
      </x:c>
      <x:c r="K67" s="15"/>
      <x:c r="L67" s="13" t="str"/>
    </x:row>
    <x:row r="68">
      <x:c r="A68" s="13" t="str">
        <x:v>Ferramentas várias</x:v>
      </x:c>
      <x:c r="B68" s="13" t="str">
        <x:v>480659</x:v>
      </x:c>
      <x:c r="C68" s="13" t="str"/>
      <x:c r="D68" s="16" t="str">
        <x:v>Osca / Martelo cobre 1 kg</x:v>
      </x:c>
      <x:c r="E68" s="15" t="n">
        <x:v>1</x:v>
      </x:c>
      <x:c r="F68" s="13" t="str">
        <x:v>un</x:v>
      </x:c>
      <x:c r="G68" s="13" t="str">
        <x:v>Equifermaq - Com de Maq e Fer, Lda</x:v>
      </x:c>
      <x:c r="H68" s="13" t="str">
        <x:v>Por confirmar</x:v>
      </x:c>
      <x:c r="I68" s="16" t="str">
        <x:v>Confirmar fisicamente se falta e preencher a quantidade.</x:v>
      </x:c>
      <x:c r="J68" s="13" t="str">
        <x:v>Por confirmar</x:v>
      </x:c>
      <x:c r="K68" s="15"/>
      <x:c r="L68" s="13" t="str"/>
    </x:row>
    <x:row r="69">
      <x:c r="A69" s="13" t="str">
        <x:v>Ferramentas várias</x:v>
      </x:c>
      <x:c r="B69" s="13" t="str">
        <x:v>PON-001</x:v>
      </x:c>
      <x:c r="C69" s="13" t="str"/>
      <x:c r="D69" s="16" t="str">
        <x:v>PONTEIRO C/ PUNHO DE PROTEÇÃO 300MM</x:v>
      </x:c>
      <x:c r="E69" s="15" t="n">
        <x:v>1</x:v>
      </x:c>
      <x:c r="F69" s="13" t="str">
        <x:v>un</x:v>
      </x:c>
      <x:c r="G69" s="13" t="str">
        <x:v>Ferramaq</x:v>
      </x:c>
      <x:c r="H69" s="13" t="str">
        <x:v>Por confirmar</x:v>
      </x:c>
      <x:c r="I69" s="16" t="str">
        <x:v>Confirmar fisicamente se falta e preencher a quantidade.</x:v>
      </x:c>
      <x:c r="J69" s="13" t="str">
        <x:v>Por confirmar</x:v>
      </x:c>
      <x:c r="K69" s="15"/>
      <x:c r="L69" s="13" t="str"/>
    </x:row>
    <x:row r="70">
      <x:c r="A70" s="13" t="str">
        <x:v>Ferramentas várias</x:v>
      </x:c>
      <x:c r="B70" s="13" t="str">
        <x:v>2241983</x:v>
      </x:c>
      <x:c r="C70" s="13" t="str"/>
      <x:c r="D70" s="16" t="str">
        <x:v>Ponteiro TE-YX SM 36</x:v>
      </x:c>
      <x:c r="E70" s="15" t="n">
        <x:v>1</x:v>
      </x:c>
      <x:c r="F70" s="13" t="str">
        <x:v>un</x:v>
      </x:c>
      <x:c r="G70" s="13" t="str">
        <x:v>Hilti</x:v>
      </x:c>
      <x:c r="H70" s="13" t="str">
        <x:v>Por confirmar</x:v>
      </x:c>
      <x:c r="I70" s="16" t="str">
        <x:v>Confirmar fisicamente se falta e preencher a quantidade.</x:v>
      </x:c>
      <x:c r="J70" s="13" t="str">
        <x:v>Por confirmar</x:v>
      </x:c>
      <x:c r="K70" s="15"/>
      <x:c r="L70" s="13" t="str"/>
    </x:row>
    <x:row r="71">
      <x:c r="A71" s="13" t="str">
        <x:v>Ferramentas várias</x:v>
      </x:c>
      <x:c r="B71" s="13" t="str">
        <x:v>109554</x:v>
      </x:c>
      <x:c r="C71" s="13" t="str"/>
      <x:c r="D71" s="16" t="str">
        <x:v>Pulverizador Sady 2,0 lt-DS3708</x:v>
      </x:c>
      <x:c r="E71" s="15" t="n">
        <x:v>1</x:v>
      </x:c>
      <x:c r="F71" s="13" t="str">
        <x:v>un</x:v>
      </x:c>
      <x:c r="G71" s="13" t="str">
        <x:v>Equifermaq - Com de Maq e Fer, Lda</x:v>
      </x:c>
      <x:c r="H71" s="13" t="str">
        <x:v>Por confirmar</x:v>
      </x:c>
      <x:c r="I71" s="16" t="str">
        <x:v>Confirmar fisicamente se falta e preencher a quantidade.</x:v>
      </x:c>
      <x:c r="J71" s="13" t="str">
        <x:v>Por confirmar</x:v>
      </x:c>
      <x:c r="K71" s="15"/>
      <x:c r="L71" s="13" t="str"/>
    </x:row>
    <x:row r="72">
      <x:c r="A72" s="13" t="str">
        <x:v>Ferramentas várias</x:v>
      </x:c>
      <x:c r="B72" s="13" t="str">
        <x:v>5014977</x:v>
      </x:c>
      <x:c r="C72" s="13" t="str">
        <x:v>5014977</x:v>
      </x:c>
      <x:c r="D72" s="16" t="str">
        <x:v>Pulverizador Sady 2,0lt-DS3708</x:v>
      </x:c>
      <x:c r="E72" s="15" t="n">
        <x:v>1</x:v>
      </x:c>
      <x:c r="F72" s="13" t="str">
        <x:v>un</x:v>
      </x:c>
      <x:c r="G72" s="13" t="str">
        <x:v>Equifermaq - Com de Maq e Fer, Lda</x:v>
      </x:c>
      <x:c r="H72" s="13" t="str">
        <x:v>Por confirmar</x:v>
      </x:c>
      <x:c r="I72" s="16" t="str">
        <x:v>Confirmar fisicamente se falta e preencher a quantidade.</x:v>
      </x:c>
      <x:c r="J72" s="13" t="str">
        <x:v>Por confirmar</x:v>
      </x:c>
      <x:c r="K72" s="15"/>
      <x:c r="L72" s="13" t="str"/>
    </x:row>
    <x:row r="73">
      <x:c r="A73" s="13" t="str">
        <x:v>Ferramentas várias</x:v>
      </x:c>
      <x:c r="B73" s="13" t="str">
        <x:v>RebarbadoraMakita</x:v>
      </x:c>
      <x:c r="C73" s="13" t="str"/>
      <x:c r="D73" s="16" t="str">
        <x:v>Rebarbadora 125mm 18v 4.0 AH DGA504RMJ Makita</x:v>
      </x:c>
      <x:c r="E73" s="15" t="n">
        <x:v>1</x:v>
      </x:c>
      <x:c r="F73" s="13" t="str">
        <x:v>un</x:v>
      </x:c>
      <x:c r="G73" s="13" t="str">
        <x:v>Ferramaq</x:v>
      </x:c>
      <x:c r="H73" s="13" t="str">
        <x:v>Por confirmar</x:v>
      </x:c>
      <x:c r="I73" s="16" t="str">
        <x:v>Confirmar fisicamente se falta e preencher a quantidade.</x:v>
      </x:c>
      <x:c r="J73" s="13" t="str">
        <x:v>Por confirmar</x:v>
      </x:c>
      <x:c r="K73" s="15"/>
      <x:c r="L73" s="13" t="str"/>
    </x:row>
    <x:row r="74">
      <x:c r="A74" s="13" t="str">
        <x:v>Ferramentas várias</x:v>
      </x:c>
      <x:c r="B74" s="13" t="str">
        <x:v>800634</x:v>
      </x:c>
      <x:c r="C74" s="13" t="str"/>
      <x:c r="D74" s="16" t="str">
        <x:v>Sady Extensao 3S 3G1,5-3mts</x:v>
      </x:c>
      <x:c r="E74" s="15" t="n">
        <x:v>3</x:v>
      </x:c>
      <x:c r="F74" s="13" t="str">
        <x:v>un</x:v>
      </x:c>
      <x:c r="G74" s="13" t="str">
        <x:v>Equifermaq - Com de Maq e Fer, Lda</x:v>
      </x:c>
      <x:c r="H74" s="13" t="str">
        <x:v>Por confirmar</x:v>
      </x:c>
      <x:c r="I74" s="16" t="str">
        <x:v>Confirmar fisicamente se falta e preencher a quantidade.</x:v>
      </x:c>
      <x:c r="J74" s="13" t="str">
        <x:v>Por confirmar</x:v>
      </x:c>
      <x:c r="K74" s="15"/>
      <x:c r="L74" s="13" t="str"/>
    </x:row>
    <x:row r="75">
      <x:c r="A75" s="13" t="str">
        <x:v>Ferramentas várias</x:v>
      </x:c>
      <x:c r="B75" s="13" t="str">
        <x:v>261045</x:v>
      </x:c>
      <x:c r="C75" s="13" t="str"/>
      <x:c r="D75" s="16" t="str">
        <x:v>Serrote Fita Optisaw S150G Vario 230v</x:v>
      </x:c>
      <x:c r="E75" s="15" t="n">
        <x:v>1</x:v>
      </x:c>
      <x:c r="F75" s="13" t="str">
        <x:v>un</x:v>
      </x:c>
      <x:c r="G75" s="13" t="str">
        <x:v>Equifermaq - Com de Maq e Fer, Lda</x:v>
      </x:c>
      <x:c r="H75" s="13" t="str">
        <x:v>Por confirmar</x:v>
      </x:c>
      <x:c r="I75" s="16" t="str">
        <x:v>Confirmar fisicamente se falta e preencher a quantidade.</x:v>
      </x:c>
      <x:c r="J75" s="13" t="str">
        <x:v>Por confirmar</x:v>
      </x:c>
      <x:c r="K75" s="15"/>
      <x:c r="L75" s="13" t="str"/>
    </x:row>
    <x:row r="76">
      <x:c r="A76" s="13" t="str">
        <x:v>Ferramentas várias</x:v>
      </x:c>
      <x:c r="B76" s="13" t="str">
        <x:v>312038</x:v>
      </x:c>
      <x:c r="C76" s="13" t="str"/>
      <x:c r="D76" s="16" t="str">
        <x:v>Soldador inverter RSD200X Nutool</x:v>
      </x:c>
      <x:c r="E76" s="15" t="n">
        <x:v>1</x:v>
      </x:c>
      <x:c r="F76" s="13" t="str">
        <x:v>un</x:v>
      </x:c>
      <x:c r="G76" s="13" t="str">
        <x:v>Equifermaq - Com de Maq e Fer, Lda</x:v>
      </x:c>
      <x:c r="H76" s="13" t="str">
        <x:v>Por confirmar</x:v>
      </x:c>
      <x:c r="I76" s="16" t="str">
        <x:v>Confirmar fisicamente se falta e preencher a quantidade.</x:v>
      </x:c>
      <x:c r="J76" s="13" t="str">
        <x:v>Por confirmar</x:v>
      </x:c>
      <x:c r="K76" s="15"/>
      <x:c r="L76" s="13" t="str"/>
    </x:row>
    <x:row r="77">
      <x:c r="A77" s="13" t="str">
        <x:v>Ferramentas várias</x:v>
      </x:c>
      <x:c r="B77" s="13" t="str">
        <x:v>TD1001</x:v>
      </x:c>
      <x:c r="C77" s="13" t="str"/>
      <x:c r="D77" s="16" t="str">
        <x:v>Tesoura c/ Cabo 24'' TD 1001</x:v>
      </x:c>
      <x:c r="E77" s="15" t="n">
        <x:v>2</x:v>
      </x:c>
      <x:c r="F77" s="13" t="str">
        <x:v>un</x:v>
      </x:c>
      <x:c r="G77" s="13" t="str">
        <x:v>Ferramaq</x:v>
      </x:c>
      <x:c r="H77" s="13" t="str">
        <x:v>Por confirmar</x:v>
      </x:c>
      <x:c r="I77" s="16" t="str">
        <x:v>Confirmar fisicamente se falta e preencher a quantidade.</x:v>
      </x:c>
      <x:c r="J77" s="13" t="str">
        <x:v>Por confirmar</x:v>
      </x:c>
      <x:c r="K77" s="15"/>
      <x:c r="L77" s="13" t="str"/>
    </x:row>
    <x:row r="78">
      <x:c r="A78" s="13" t="str">
        <x:v>Ferramentas várias</x:v>
      </x:c>
      <x:c r="B78" s="13" t="str">
        <x:v>TES-001</x:v>
      </x:c>
      <x:c r="C78" s="13" t="str"/>
      <x:c r="D78" s="16" t="str">
        <x:v>TESOURA CORTAR CHAPA CORTE RETO MILWAUKEE</x:v>
      </x:c>
      <x:c r="E78" s="15" t="n">
        <x:v>1</x:v>
      </x:c>
      <x:c r="F78" s="13" t="str">
        <x:v>un</x:v>
      </x:c>
      <x:c r="G78" s="13" t="str">
        <x:v>Ferramaq</x:v>
      </x:c>
      <x:c r="H78" s="13" t="str">
        <x:v>Por confirmar</x:v>
      </x:c>
      <x:c r="I78" s="16" t="str">
        <x:v>Confirmar fisicamente se falta e preencher a quantidade.</x:v>
      </x:c>
      <x:c r="J78" s="13" t="str">
        <x:v>Por confirmar</x:v>
      </x:c>
      <x:c r="K78" s="15"/>
      <x:c r="L78" s="13" t="str"/>
    </x:row>
    <x:row r="79">
      <x:c r="A79" s="13" t="str">
        <x:v>Ferramentas várias</x:v>
      </x:c>
      <x:c r="B79" s="13" t="str">
        <x:v>TORN-001</x:v>
      </x:c>
      <x:c r="C79" s="13" t="str"/>
      <x:c r="D79" s="16" t="str">
        <x:v>TORNO BASE FIXA 150MM 6"</x:v>
      </x:c>
      <x:c r="E79" s="15" t="n">
        <x:v>1</x:v>
      </x:c>
      <x:c r="F79" s="13" t="str">
        <x:v>un</x:v>
      </x:c>
      <x:c r="G79" s="13" t="str">
        <x:v>Ferramaq</x:v>
      </x:c>
      <x:c r="H79" s="13" t="str">
        <x:v>Por confirmar</x:v>
      </x:c>
      <x:c r="I79" s="16" t="str">
        <x:v>Confirmar fisicamente se falta e preencher a quantidade.</x:v>
      </x:c>
      <x:c r="J79" s="13" t="str">
        <x:v>Por confirmar</x:v>
      </x:c>
      <x:c r="K79" s="15"/>
      <x:c r="L79" s="13" t="str"/>
    </x:row>
    <x:row r="80">
      <x:c r="A80" s="13" t="str">
        <x:v>Ferramentas várias</x:v>
      </x:c>
      <x:c r="B80" s="13" t="str">
        <x:v>TUR-001</x:v>
      </x:c>
      <x:c r="C80" s="13" t="str"/>
      <x:c r="D80" s="16" t="str">
        <x:v>TURQUÊS ARMEIRO CR-V 220MM MAC</x:v>
      </x:c>
      <x:c r="E80" s="15" t="n">
        <x:v>2</x:v>
      </x:c>
      <x:c r="F80" s="13" t="str">
        <x:v>un</x:v>
      </x:c>
      <x:c r="G80" s="13" t="str">
        <x:v>Ferramaq</x:v>
      </x:c>
      <x:c r="H80" s="13" t="str">
        <x:v>Por confirmar</x:v>
      </x:c>
      <x:c r="I80" s="16" t="str">
        <x:v>Confirmar fisicamente se falta e preencher a quantidade.</x:v>
      </x:c>
      <x:c r="J80" s="13" t="str">
        <x:v>Por confirmar</x:v>
      </x:c>
      <x:c r="K80" s="15"/>
      <x:c r="L80" s="13" t="str"/>
    </x:row>
  </x:sheetData>
  <x:mergeCells>
    <x:mergeCell ref="A1:L1"/>
    <x:mergeCell ref="A2:L2"/>
  </x:mergeCells>
  <x:conditionalFormatting sqref="J5:J80">
    <x:cfRule type="containsText" dxfId="3" priority="1" operator="containsText" text="Sim"/>
    <x:cfRule type="containsText" dxfId="4" priority="2" operator="containsText" text="Não"/>
    <x:cfRule type="containsText" dxfId="5" priority="3" operator="containsText" text="Por confirmar"/>
  </x:conditionalFormatting>
  <x:dataValidations count="2">
    <x:dataValidation type="list" sqref="J5:J80">
      <x:formula1>"Por confirmar,Sim,Não"</x:formula1>
    </x:dataValidation>
    <x:dataValidation type="whole" operator="greaterThanOrEqual" sqref="K5:K8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c8fcf22fb43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24" hidden="0" customWidth="1"/>
  </x:cols>
  <x:sheetData>
    <x:row r="1">
      <x:c r="A1" s="17" t="str">
        <x:v>Resumo do levantamento do assalto</x:v>
      </x:c>
      <x:c r="B1" s="17"/>
      <x:c r="C1" s="17"/>
      <x:c r="D1" s="17"/>
      <x:c r="E1" s="17"/>
    </x:row>
    <x:row r="2">
      <x:c r="A2" s="5" t="str">
        <x:v>Data de referência: 24/07/2026 · Nenhuma saída foi registada</x:v>
      </x:c>
      <x:c r="B2" s="5"/>
      <x:c r="C2" s="5"/>
      <x:c r="D2" s="5"/>
      <x:c r="E2" s="5"/>
    </x:row>
    <x:row r="4">
      <x:c r="A4" s="8" t="str">
        <x:v>Folha</x:v>
      </x:c>
      <x:c r="B4" s="8" t="str">
        <x:v>Linhas para conferir</x:v>
      </x:c>
      <x:c r="C4" s="8" t="str">
        <x:v>Confirmadas em falta</x:v>
      </x:c>
      <x:c r="D4" s="8" t="str">
        <x:v>Confirmadas presentes</x:v>
      </x:c>
      <x:c r="E4" s="8" t="str">
        <x:v>Ainda por confirmar</x:v>
      </x:c>
    </x:row>
    <x:row r="5">
      <x:c r="A5" t="str">
        <x:v>Material pedido</x:v>
      </x:c>
      <x:c r="B5" s="10" t="n">
        <x:f>COUNTA('Material pedido'!A5:A28)</x:f>
        <x:v>24</x:v>
      </x:c>
      <x:c r="C5" s="10" t="n">
        <x:f>COUNTIF('Material pedido'!J5:J28,"Sim")</x:f>
        <x:v>0</x:v>
      </x:c>
      <x:c r="D5" s="10" t="n">
        <x:f>COUNTIF('Material pedido'!J5:J28,"Não")</x:f>
        <x:v>0</x:v>
      </x:c>
      <x:c r="E5" s="10" t="n">
        <x:f>COUNTIF('Material pedido'!J5:J28,"Por confirmar")</x:f>
        <x:v>24</x:v>
      </x:c>
    </x:row>
    <x:row r="6">
      <x:c r="A6" t="str">
        <x:v>Ferramentas várias</x:v>
      </x:c>
      <x:c r="B6" s="10" t="n">
        <x:f>COUNTA('Ferramentas várias'!A5:A80)</x:f>
        <x:v>76</x:v>
      </x:c>
      <x:c r="C6" s="10" t="n">
        <x:f>COUNTIF('Ferramentas várias'!J5:J80,"Sim")</x:f>
        <x:v>0</x:v>
      </x:c>
      <x:c r="D6" s="10" t="n">
        <x:f>COUNTIF('Ferramentas várias'!J5:J80,"Não")</x:f>
        <x:v>0</x:v>
      </x:c>
      <x:c r="E6" s="10" t="n">
        <x:f>COUNTIF('Ferramentas várias'!J5:J80,"Por confirmar")</x:f>
        <x:v>76</x:v>
      </x:c>
    </x:row>
    <x:row r="7">
      <x:c r="A7" s="19" t="str">
        <x:v>Total</x:v>
      </x:c>
      <x:c r="B7" s="20" t="n">
        <x:f>SUM(B5:B6)</x:f>
        <x:v>100</x:v>
      </x:c>
      <x:c r="C7" s="20" t="n">
        <x:f>SUM(C5:C6)</x:f>
        <x:v>0</x:v>
      </x:c>
      <x:c r="D7" s="20" t="n">
        <x:f>SUM(D5:D6)</x:f>
        <x:v>0</x:v>
      </x:c>
      <x:c r="E7" s="20" t="n">
        <x:f>SUM(E5:E6)</x:f>
        <x:v>100</x:v>
      </x:c>
    </x:row>
    <x:row r="9" ht="48" customHeight="1">
      <x:c r="A9" s="23" t="str">
        <x:v>Como usar: nas duas folhas de detalhe, escolher Sim/Não em “Falta confirmada?”, preencher “Quantidade em falta” e acrescentar notas da contagem. As designações incertas foram mantidas de propósito.</x:v>
      </x:c>
      <x:c r="B9" s="23"/>
      <x:c r="C9" s="23"/>
      <x:c r="D9" s="23"/>
      <x:c r="E9" s="23"/>
    </x:row>
  </x:sheetData>
  <x:mergeCells>
    <x:mergeCell ref="A1:E1"/>
    <x:mergeCell ref="A2:E2"/>
    <x:mergeCell ref="A9:E9"/>
  </x:mergeCells>
  <x:pageMargins left="0.7" right="0.7" top="0.75" bottom="0.75" header="0.3" footer="0.3"/>
</x:worksheet>
</file>